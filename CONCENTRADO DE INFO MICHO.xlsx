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esktop\chamba jorge rubio\EXCELS\"/>
    </mc:Choice>
  </mc:AlternateContent>
  <xr:revisionPtr revIDLastSave="0" documentId="8_{88843FDC-953A-4981-9D0D-FDEF56625A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LICITUDES" sheetId="1" r:id="rId1"/>
    <sheet name="MAPA DE MICH" sheetId="2" r:id="rId2"/>
    <sheet name="HISTORICO ELECCIONES" sheetId="3" r:id="rId3"/>
    <sheet name="CASILLAS" sheetId="4" r:id="rId4"/>
    <sheet name="ENCUESTAS DE SATISFACCION " sheetId="5" r:id="rId5"/>
    <sheet name="ENCUESTAS" sheetId="6" r:id="rId6"/>
    <sheet name="CONTEXTO ELECTORAL" sheetId="8" r:id="rId7"/>
    <sheet name="LISTA NOMINAL POR EDADES" sheetId="9" r:id="rId8"/>
    <sheet name="CONTEXTO ESTATAL" sheetId="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5" l="1"/>
  <c r="E22" i="5"/>
  <c r="D22" i="5"/>
  <c r="C22" i="5"/>
  <c r="B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</calcChain>
</file>

<file path=xl/sharedStrings.xml><?xml version="1.0" encoding="utf-8"?>
<sst xmlns="http://schemas.openxmlformats.org/spreadsheetml/2006/main" count="503" uniqueCount="284">
  <si>
    <t>Municipio</t>
  </si>
  <si>
    <t>Solicitud</t>
  </si>
  <si>
    <t>Fecha</t>
  </si>
  <si>
    <t>Nombre del solicitante</t>
  </si>
  <si>
    <t>Clave de
Elector</t>
  </si>
  <si>
    <t>Dirección</t>
  </si>
  <si>
    <t>Sector para su atención</t>
  </si>
  <si>
    <t>Prioridad</t>
  </si>
  <si>
    <t>Estatus</t>
  </si>
  <si>
    <t>Fecha de atención</t>
  </si>
  <si>
    <t>Silla de ruedas.</t>
  </si>
  <si>
    <t>Camioneta Pick Up</t>
  </si>
  <si>
    <t>Torton Pipa</t>
  </si>
  <si>
    <t>Camioneta Redilas Ford</t>
  </si>
  <si>
    <t>Tahoe de media tonelada</t>
  </si>
  <si>
    <t>Cuatrimoto</t>
  </si>
  <si>
    <t>Rehabilitación de operación de la vista</t>
  </si>
  <si>
    <t>Ampliar los programas de Canasta Básica y Prospera en ambas comunidades de la sección 84.</t>
  </si>
  <si>
    <t>Adquirir abonos y fertilizantes para las comunidades de la sección 85</t>
  </si>
  <si>
    <t>Conclusión o revestimiento de la carretera de San Andrés Tepatitlán a Capulmanca (propuesta de campaña tanto del actual presidente municipal como diputado local).</t>
  </si>
  <si>
    <t>Construcción de la delegación en Capulmanca (a reserva de que alguien done el terreno).</t>
  </si>
  <si>
    <t>Gestión de créditos agropecuarios para la siembra de terrenos y la elaboración de al menos tres invernaderos.</t>
  </si>
  <si>
    <t>Gestión de los permisos de operación de los panteones de Capulmanca y San Andrés.</t>
  </si>
  <si>
    <t>Jornada integral de salud para la comunidad.</t>
  </si>
  <si>
    <t>Mantenimiento general de la telesecundaria, así como la reparación de los techos de las aulas y la instalación de la barda perimetral.</t>
  </si>
  <si>
    <t>Instalación del internet en el centro de aprendizaje de la comunidad (se cuenta con computadoras nuevas).</t>
  </si>
  <si>
    <t>Techo para la cancha de futbol 7, así como la instalación de asadores y juegos infantiles en estas instalaciones (compromiso del actual presidente municipal).</t>
  </si>
  <si>
    <t>Resolver el tema de la escasez y distribución del agua. (Sección 85).</t>
  </si>
  <si>
    <t>Construcción de vivienda</t>
  </si>
  <si>
    <t>Calentadores solares para las comunidades de la sección 87.</t>
  </si>
  <si>
    <t>Cursos de computación a todos los habitantes de la sección 87.</t>
  </si>
  <si>
    <t>Láminas para las reparaciones de las casas que se van deteriorando de la sección 87.</t>
  </si>
  <si>
    <t>Levantamiento de la barda perimetral del kínder y el techado de la cancha en la telesecundaria.</t>
  </si>
  <si>
    <t>Construcción de un baño en la delegación de Los Ranchos.</t>
  </si>
  <si>
    <t>Completar la pavimentación o el revestimiento de los caminos y que se conectan con la carretera federal en la comunidad de Pachuquilla.</t>
  </si>
  <si>
    <t>Reparación y mantenimiento de la escuela primaria de Pachuquilla, particularmente la reparación de los techos.</t>
  </si>
  <si>
    <t>Atención por enfermedad de corazón</t>
  </si>
  <si>
    <t>28/09/16</t>
  </si>
  <si>
    <t>05/10/16</t>
  </si>
  <si>
    <t>13/10/16</t>
  </si>
  <si>
    <t>14/10/16</t>
  </si>
  <si>
    <t>15/10/16</t>
  </si>
  <si>
    <t>21/10/16</t>
  </si>
  <si>
    <t>SAE</t>
  </si>
  <si>
    <t>Salud</t>
  </si>
  <si>
    <t>Alta</t>
  </si>
  <si>
    <t>En trámite</t>
  </si>
  <si>
    <t>11/10/16</t>
  </si>
  <si>
    <t>Chapultepec Norte</t>
  </si>
  <si>
    <t>Chapultepec Sur</t>
  </si>
  <si>
    <t>Las Américas</t>
  </si>
  <si>
    <t>Tres Marías</t>
  </si>
  <si>
    <t>Villas del Pedregal</t>
  </si>
  <si>
    <t>Altozano</t>
  </si>
  <si>
    <t>Prados Verdes</t>
  </si>
  <si>
    <t>Ocolusen</t>
  </si>
  <si>
    <t>Santa María</t>
  </si>
  <si>
    <t>La Huerta</t>
  </si>
  <si>
    <t>Lomas de Morelia</t>
  </si>
  <si>
    <t>Centro</t>
  </si>
  <si>
    <t>Municipio de Morelia</t>
  </si>
  <si>
    <t>Ayuntamiento de Morelia</t>
  </si>
  <si>
    <t>DIF Morelia</t>
  </si>
  <si>
    <t>Gobierno del Estado de Michoacán</t>
  </si>
  <si>
    <t>Secretaría de Bienestar</t>
  </si>
  <si>
    <t>Secretaría de Educación en el Estado</t>
  </si>
  <si>
    <t>Comisión Estatal del Agua y Gestión de Cuencas</t>
  </si>
  <si>
    <t>Instituto Mexicano del Seguro Social</t>
  </si>
  <si>
    <t>Instituto de Seguridad y Servicios Sociales de los Trabajadores del Estado</t>
  </si>
  <si>
    <t>Universidad Michoacana de San Nicolás de Hidalgo</t>
  </si>
  <si>
    <t>Policía Municipal de Morelia</t>
  </si>
  <si>
    <t>Fiscalía General del Estado de Michoacán</t>
  </si>
  <si>
    <t>Sistema Integral de Financiamiento para el Desarrollo de Michoacán</t>
  </si>
  <si>
    <t>Antonio García Hernández</t>
  </si>
  <si>
    <t>José Luis Martínez Pérez</t>
  </si>
  <si>
    <t>María Guadalupe Rodríguez López</t>
  </si>
  <si>
    <t>Juan Carlos Sánchez Ramírez</t>
  </si>
  <si>
    <t>Luis Alberto Torres García</t>
  </si>
  <si>
    <t>Ana Sofía Martínez López</t>
  </si>
  <si>
    <t>Jorge Armando Reyes Méndez</t>
  </si>
  <si>
    <t>Claudia Patricia Hernández Ruiz</t>
  </si>
  <si>
    <t>Roberto Carlos Gómez Vargas</t>
  </si>
  <si>
    <t>Miguel Ángel Castro Morales</t>
  </si>
  <si>
    <t>Laura Fernanda Ortiz Silva</t>
  </si>
  <si>
    <t>Hospital del Niño (Morelia)</t>
  </si>
  <si>
    <t>Trabajo</t>
  </si>
  <si>
    <t>Media</t>
  </si>
  <si>
    <t>Baja</t>
  </si>
  <si>
    <t>Terminado</t>
  </si>
  <si>
    <t>No atendido</t>
  </si>
  <si>
    <t>11/10/17</t>
  </si>
  <si>
    <t>11/10/18</t>
  </si>
  <si>
    <t>11/10/19</t>
  </si>
  <si>
    <t>11/10/20</t>
  </si>
  <si>
    <t>11/10/21</t>
  </si>
  <si>
    <t>11/10/22</t>
  </si>
  <si>
    <t>11/10/23</t>
  </si>
  <si>
    <t>11/10/24</t>
  </si>
  <si>
    <t>11/10/25</t>
  </si>
  <si>
    <t>11/10/26</t>
  </si>
  <si>
    <t>11/10/27</t>
  </si>
  <si>
    <t>11/10/28</t>
  </si>
  <si>
    <t>11/10/29</t>
  </si>
  <si>
    <t>11/10/30</t>
  </si>
  <si>
    <t>11/10/31</t>
  </si>
  <si>
    <t>11/10/32</t>
  </si>
  <si>
    <t>11/10/33</t>
  </si>
  <si>
    <t>n/a</t>
  </si>
  <si>
    <t>MICHOACÁN DE OCAMPO – Municipios con Coordenadas para Power BI</t>
  </si>
  <si>
    <t>CVE_MUN</t>
  </si>
  <si>
    <t>Estado</t>
  </si>
  <si>
    <t>Latitud</t>
  </si>
  <si>
    <t>Longitud</t>
  </si>
  <si>
    <t>Lista_Nominal</t>
  </si>
  <si>
    <t>Porcentaje_LN</t>
  </si>
  <si>
    <t>16006</t>
  </si>
  <si>
    <t>Apatzingán</t>
  </si>
  <si>
    <t>Michoacán de Ocampo</t>
  </si>
  <si>
    <t>16034</t>
  </si>
  <si>
    <t>Hidalgo</t>
  </si>
  <si>
    <t>16049</t>
  </si>
  <si>
    <t>Lázaro Cárdenas</t>
  </si>
  <si>
    <t>16052</t>
  </si>
  <si>
    <t>Maravatío</t>
  </si>
  <si>
    <t>16053</t>
  </si>
  <si>
    <t>Morelia</t>
  </si>
  <si>
    <t>16066</t>
  </si>
  <si>
    <t>Pátzcuaro</t>
  </si>
  <si>
    <t>16069</t>
  </si>
  <si>
    <t>La Piedad</t>
  </si>
  <si>
    <t>16072</t>
  </si>
  <si>
    <t>Puruándiro</t>
  </si>
  <si>
    <t>16089</t>
  </si>
  <si>
    <t>Tarímbaro</t>
  </si>
  <si>
    <t>16103</t>
  </si>
  <si>
    <t>Uruapan</t>
  </si>
  <si>
    <t>16109</t>
  </si>
  <si>
    <t>Zamora</t>
  </si>
  <si>
    <t>16113</t>
  </si>
  <si>
    <t>Zitácuaro</t>
  </si>
  <si>
    <t>Partido Político</t>
  </si>
  <si>
    <t>Votación</t>
  </si>
  <si>
    <t>Porcentaje</t>
  </si>
  <si>
    <t>MORENA</t>
  </si>
  <si>
    <t>PRI</t>
  </si>
  <si>
    <t>PAN</t>
  </si>
  <si>
    <t>MC</t>
  </si>
  <si>
    <t>PVEM</t>
  </si>
  <si>
    <t>PT</t>
  </si>
  <si>
    <t>PRD</t>
  </si>
  <si>
    <t>PES</t>
  </si>
  <si>
    <t>Sección</t>
  </si>
  <si>
    <t>MOR</t>
  </si>
  <si>
    <t>NULOS</t>
  </si>
  <si>
    <t>TOTAL</t>
  </si>
  <si>
    <t>DIF. 1ER-2DO</t>
  </si>
  <si>
    <t>Colonia</t>
  </si>
  <si>
    <t>Casillas</t>
  </si>
  <si>
    <t>Se requiere</t>
  </si>
  <si>
    <t>Lista</t>
  </si>
  <si>
    <t>Distrito local</t>
  </si>
  <si>
    <t>B
C1</t>
  </si>
  <si>
    <t>B= 600
C1= 588</t>
  </si>
  <si>
    <t>B= 600
C1= 423</t>
  </si>
  <si>
    <t>B= 600
C1= 500</t>
  </si>
  <si>
    <t>B</t>
  </si>
  <si>
    <t>B= 250</t>
  </si>
  <si>
    <t>B= 350</t>
  </si>
  <si>
    <t>B= 105</t>
  </si>
  <si>
    <t>B= 70</t>
  </si>
  <si>
    <t>B
C1
C1</t>
  </si>
  <si>
    <t>B= 500
C1= 409</t>
  </si>
  <si>
    <t>B= 403</t>
  </si>
  <si>
    <t>B= 450</t>
  </si>
  <si>
    <t>B= 401
C1= 99</t>
  </si>
  <si>
    <t>B
C1
C2</t>
  </si>
  <si>
    <t>B= 522
C1= 449</t>
  </si>
  <si>
    <t>B= 400
C1= 120</t>
  </si>
  <si>
    <t>B=
C1=</t>
  </si>
  <si>
    <t>B= 509
C1= 86</t>
  </si>
  <si>
    <t>B= 521</t>
  </si>
  <si>
    <t>B= 544
C1= 92</t>
  </si>
  <si>
    <t>B= 519</t>
  </si>
  <si>
    <t>Respondente</t>
  </si>
  <si>
    <t>¿El apoyo que recibe le hace sentir que su Gobierno Federal le está cumpliendo?</t>
  </si>
  <si>
    <t>¿Los apoyos que le otorga el Gobierno Federal contribuyen a mejorar su ingreso familiar?</t>
  </si>
  <si>
    <t>¿Qué tan satisfecho está con los apoyos sociales que recibe?</t>
  </si>
  <si>
    <t>¿Qué calificación le daría al Gobierno Federal?</t>
  </si>
  <si>
    <t>¿Le gustaría que los Programas se mantengan como hasta ahora lo han hecho?</t>
  </si>
  <si>
    <t>Score Total</t>
  </si>
  <si>
    <t>Persona 1</t>
  </si>
  <si>
    <t>Persona 2</t>
  </si>
  <si>
    <t>Persona 3</t>
  </si>
  <si>
    <t>Persona 4</t>
  </si>
  <si>
    <t>Persona 5</t>
  </si>
  <si>
    <t>Persona 6</t>
  </si>
  <si>
    <t>Persona 7</t>
  </si>
  <si>
    <t>Persona 8</t>
  </si>
  <si>
    <t>Persona 9</t>
  </si>
  <si>
    <t>Persona 10</t>
  </si>
  <si>
    <t>Persona 11</t>
  </si>
  <si>
    <t>Persona 12</t>
  </si>
  <si>
    <t>Persona 13</t>
  </si>
  <si>
    <t>Persona 14</t>
  </si>
  <si>
    <t>Persona 15</t>
  </si>
  <si>
    <t>Persona 16</t>
  </si>
  <si>
    <t>Persona 17</t>
  </si>
  <si>
    <t>Persona 18</t>
  </si>
  <si>
    <t>Persona 19</t>
  </si>
  <si>
    <t>Persona 20</t>
  </si>
  <si>
    <t>Region</t>
  </si>
  <si>
    <t>N° Secciones</t>
  </si>
  <si>
    <t>Completadas</t>
  </si>
  <si>
    <t>% Completadas</t>
  </si>
  <si>
    <t>No Hubo Quien Contestara</t>
  </si>
  <si>
    <t>% No Hubo Quien Contestara</t>
  </si>
  <si>
    <t>Menor De Edad</t>
  </si>
  <si>
    <t>% Menor De Edad</t>
  </si>
  <si>
    <t>Domicilio No Encontrado</t>
  </si>
  <si>
    <t>% Domicilio No Encontrado</t>
  </si>
  <si>
    <t>No Quisieron Contestar</t>
  </si>
  <si>
    <t>% No Quisieron Contestar</t>
  </si>
  <si>
    <t>Otro</t>
  </si>
  <si>
    <t>% Otro</t>
  </si>
  <si>
    <t>Realizadas</t>
  </si>
  <si>
    <t>Esperadas</t>
  </si>
  <si>
    <t>% Esperadas</t>
  </si>
  <si>
    <t>Meta</t>
  </si>
  <si>
    <t>% Meta</t>
  </si>
  <si>
    <t>Michoacán</t>
  </si>
  <si>
    <t>La piedad</t>
  </si>
  <si>
    <t>INDICADOR</t>
  </si>
  <si>
    <t>Superficie (km²)</t>
  </si>
  <si>
    <t>Habitantes totales</t>
  </si>
  <si>
    <t>% Mujeres</t>
  </si>
  <si>
    <t>% Hombres</t>
  </si>
  <si>
    <t>Población católica</t>
  </si>
  <si>
    <t>Personas en pobreza moderada</t>
  </si>
  <si>
    <t>Personas en pobreza extrema</t>
  </si>
  <si>
    <t>% en pobreza laboral</t>
  </si>
  <si>
    <t>Beneficiarios Programas del Bienestar</t>
  </si>
  <si>
    <t>PEA (Población Económicamente Activa)</t>
  </si>
  <si>
    <t>Población Económicamente No Activa</t>
  </si>
  <si>
    <t>% Informalidad laboral</t>
  </si>
  <si>
    <t>Años de escolaridad promedio</t>
  </si>
  <si>
    <t>Viviendas habitadas</t>
  </si>
  <si>
    <t>Habitantes por vivienda</t>
  </si>
  <si>
    <t>Zonas metropolitanas</t>
  </si>
  <si>
    <t>ZM Morelia (municipios)</t>
  </si>
  <si>
    <t>ZM La Piedad-Pénjamo (municipios)</t>
  </si>
  <si>
    <t>ZM Zamora (municipios)</t>
  </si>
  <si>
    <t>VALOR</t>
  </si>
  <si>
    <t>Charo, Morelia, Tarímbaro</t>
  </si>
  <si>
    <t>La Piedad, Pénjamo</t>
  </si>
  <si>
    <t>Zamora, Jacona</t>
  </si>
  <si>
    <t>Municipios</t>
  </si>
  <si>
    <t>Distritos federales</t>
  </si>
  <si>
    <t>Distritos locales</t>
  </si>
  <si>
    <t>Secciones electorales</t>
  </si>
  <si>
    <t>Padrón electoral total</t>
  </si>
  <si>
    <t>Padrón electoral – Mujeres</t>
  </si>
  <si>
    <t>Padrón electoral – Hombres</t>
  </si>
  <si>
    <t>Padrón electoral – No binario</t>
  </si>
  <si>
    <t>Lista nominal total</t>
  </si>
  <si>
    <t>Lista nominal – Mujeres</t>
  </si>
  <si>
    <t>Lista nominal – Hombres</t>
  </si>
  <si>
    <t>Lista nominal – No binario</t>
  </si>
  <si>
    <t>Corte de datos</t>
  </si>
  <si>
    <t>08 de enero de 2026</t>
  </si>
  <si>
    <t>Edad (años)</t>
  </si>
  <si>
    <t>Hombres</t>
  </si>
  <si>
    <t>Mujeres</t>
  </si>
  <si>
    <t>No binario</t>
  </si>
  <si>
    <t>% No binario</t>
  </si>
  <si>
    <t>Total</t>
  </si>
  <si>
    <t>18-19</t>
  </si>
  <si>
    <t>20-29</t>
  </si>
  <si>
    <t>30-39</t>
  </si>
  <si>
    <t>40-49</t>
  </si>
  <si>
    <t>50-59</t>
  </si>
  <si>
    <t>60 y más</t>
  </si>
  <si>
    <t>Partido Político_1</t>
  </si>
  <si>
    <t>Votación_2</t>
  </si>
  <si>
    <t>Porcentaje_3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</si>
</sst>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rgb="FF1F1F1F"/>
      <name val="Calibri"/>
      <family val="2"/>
    </font>
    <font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B0000"/>
      </patternFill>
    </fill>
    <fill>
      <patternFill patternType="solid">
        <fgColor rgb="FFC0392B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7FB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9D1D9"/>
      </left>
      <right style="thin">
        <color rgb="FFC9D1D9"/>
      </right>
      <top style="thin">
        <color rgb="FFC9D1D9"/>
      </top>
      <bottom style="thin">
        <color rgb="FFC9D1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4" fillId="3" borderId="0" xfId="0" applyFont="1" applyFill="1" applyAlignment="1">
      <alignment horizontal="center" vertical="center"/>
    </xf>
    <xf numFmtId="0" fontId="0" fillId="0" borderId="0" xfId="0"/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3" fontId="6" fillId="5" borderId="0" xfId="0" applyNumberFormat="1" applyFont="1" applyFill="1" applyAlignment="1">
      <alignment horizontal="center" vertical="center"/>
    </xf>
    <xf numFmtId="10" fontId="6" fillId="5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3" fontId="6" fillId="2" borderId="0" xfId="0" applyNumberFormat="1" applyFont="1" applyFill="1" applyAlignment="1">
      <alignment horizontal="center" vertical="center"/>
    </xf>
    <xf numFmtId="10" fontId="6" fillId="2" borderId="0" xfId="0" applyNumberFormat="1" applyFont="1" applyFill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3" fontId="0" fillId="7" borderId="2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left" vertical="center" wrapText="1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7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selection activeCell="C31" sqref="C31"/>
    </sheetView>
  </sheetViews>
  <sheetFormatPr baseColWidth="10" defaultColWidth="9.109375" defaultRowHeight="14.4" x14ac:dyDescent="0.3"/>
  <cols>
    <col min="1" max="1" width="25.88671875" customWidth="1"/>
    <col min="2" max="2" width="32.33203125" customWidth="1"/>
    <col min="3" max="3" width="26.88671875" customWidth="1"/>
    <col min="4" max="4" width="29.5546875" customWidth="1"/>
    <col min="5" max="5" width="31.88671875" customWidth="1"/>
    <col min="6" max="6" width="17.44140625" customWidth="1"/>
    <col min="7" max="7" width="20.33203125" customWidth="1"/>
    <col min="8" max="9" width="21.44140625" customWidth="1"/>
    <col min="10" max="10" width="17.109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48</v>
      </c>
      <c r="B2" t="s">
        <v>10</v>
      </c>
      <c r="C2" t="s">
        <v>37</v>
      </c>
      <c r="D2" t="s">
        <v>60</v>
      </c>
      <c r="E2">
        <v>123123</v>
      </c>
      <c r="F2">
        <v>52345345</v>
      </c>
      <c r="G2" t="s">
        <v>43</v>
      </c>
      <c r="H2" t="s">
        <v>86</v>
      </c>
      <c r="I2" t="s">
        <v>88</v>
      </c>
      <c r="J2" t="s">
        <v>47</v>
      </c>
    </row>
    <row r="3" spans="1:10" x14ac:dyDescent="0.3">
      <c r="A3" s="2" t="s">
        <v>49</v>
      </c>
      <c r="B3" t="s">
        <v>11</v>
      </c>
      <c r="C3" t="s">
        <v>38</v>
      </c>
      <c r="D3" t="s">
        <v>60</v>
      </c>
      <c r="E3">
        <v>123123</v>
      </c>
      <c r="F3">
        <v>52345345</v>
      </c>
      <c r="G3" t="s">
        <v>43</v>
      </c>
      <c r="H3" t="s">
        <v>86</v>
      </c>
      <c r="I3" t="s">
        <v>46</v>
      </c>
      <c r="J3" t="s">
        <v>90</v>
      </c>
    </row>
    <row r="4" spans="1:10" x14ac:dyDescent="0.3">
      <c r="A4" s="2" t="s">
        <v>50</v>
      </c>
      <c r="B4" t="s">
        <v>12</v>
      </c>
      <c r="C4" t="s">
        <v>38</v>
      </c>
      <c r="D4" t="s">
        <v>60</v>
      </c>
      <c r="E4">
        <v>123123</v>
      </c>
      <c r="F4">
        <v>52345345</v>
      </c>
      <c r="G4" t="s">
        <v>43</v>
      </c>
      <c r="H4" t="s">
        <v>86</v>
      </c>
      <c r="I4" t="s">
        <v>46</v>
      </c>
      <c r="J4" t="s">
        <v>91</v>
      </c>
    </row>
    <row r="5" spans="1:10" x14ac:dyDescent="0.3">
      <c r="A5" s="2" t="s">
        <v>51</v>
      </c>
      <c r="B5" t="s">
        <v>13</v>
      </c>
      <c r="C5" t="s">
        <v>38</v>
      </c>
      <c r="D5" t="s">
        <v>61</v>
      </c>
      <c r="E5">
        <v>123123</v>
      </c>
      <c r="F5">
        <v>52345345</v>
      </c>
      <c r="G5" t="s">
        <v>43</v>
      </c>
      <c r="H5" t="s">
        <v>86</v>
      </c>
      <c r="I5" t="s">
        <v>46</v>
      </c>
      <c r="J5" t="s">
        <v>92</v>
      </c>
    </row>
    <row r="6" spans="1:10" x14ac:dyDescent="0.3">
      <c r="A6" s="2" t="s">
        <v>52</v>
      </c>
      <c r="B6" t="s">
        <v>14</v>
      </c>
      <c r="C6" t="s">
        <v>39</v>
      </c>
      <c r="D6" t="s">
        <v>61</v>
      </c>
      <c r="E6">
        <v>123123</v>
      </c>
      <c r="F6">
        <v>52345345</v>
      </c>
      <c r="G6" t="s">
        <v>43</v>
      </c>
      <c r="H6" t="s">
        <v>86</v>
      </c>
      <c r="I6" t="s">
        <v>46</v>
      </c>
      <c r="J6" t="s">
        <v>93</v>
      </c>
    </row>
    <row r="7" spans="1:10" x14ac:dyDescent="0.3">
      <c r="A7" s="2" t="s">
        <v>53</v>
      </c>
      <c r="B7" t="s">
        <v>15</v>
      </c>
      <c r="C7" t="s">
        <v>39</v>
      </c>
      <c r="D7" t="s">
        <v>62</v>
      </c>
      <c r="E7">
        <v>123123</v>
      </c>
      <c r="F7">
        <v>52345345</v>
      </c>
      <c r="G7" t="s">
        <v>43</v>
      </c>
      <c r="H7" t="s">
        <v>86</v>
      </c>
      <c r="I7" t="s">
        <v>46</v>
      </c>
      <c r="J7" t="s">
        <v>94</v>
      </c>
    </row>
    <row r="8" spans="1:10" x14ac:dyDescent="0.3">
      <c r="A8" s="2" t="s">
        <v>54</v>
      </c>
      <c r="B8" t="s">
        <v>16</v>
      </c>
      <c r="C8" t="s">
        <v>40</v>
      </c>
      <c r="D8" t="s">
        <v>63</v>
      </c>
      <c r="E8">
        <v>123123</v>
      </c>
      <c r="F8">
        <v>132451251</v>
      </c>
      <c r="G8" t="s">
        <v>44</v>
      </c>
      <c r="H8" t="s">
        <v>45</v>
      </c>
      <c r="I8" t="s">
        <v>46</v>
      </c>
      <c r="J8" t="s">
        <v>95</v>
      </c>
    </row>
    <row r="9" spans="1:10" x14ac:dyDescent="0.3">
      <c r="A9" s="2" t="s">
        <v>55</v>
      </c>
      <c r="B9" t="s">
        <v>17</v>
      </c>
      <c r="C9" t="s">
        <v>40</v>
      </c>
      <c r="D9" t="s">
        <v>64</v>
      </c>
      <c r="E9">
        <v>123123</v>
      </c>
      <c r="F9">
        <v>132451251</v>
      </c>
      <c r="G9" t="s">
        <v>44</v>
      </c>
      <c r="H9" t="s">
        <v>87</v>
      </c>
      <c r="I9" t="s">
        <v>46</v>
      </c>
      <c r="J9" t="s">
        <v>96</v>
      </c>
    </row>
    <row r="10" spans="1:10" x14ac:dyDescent="0.3">
      <c r="A10" s="2" t="s">
        <v>56</v>
      </c>
      <c r="B10" t="s">
        <v>18</v>
      </c>
      <c r="C10" t="s">
        <v>40</v>
      </c>
      <c r="D10" t="s">
        <v>65</v>
      </c>
      <c r="E10">
        <v>123123</v>
      </c>
      <c r="F10">
        <v>132451251</v>
      </c>
      <c r="G10" t="s">
        <v>44</v>
      </c>
      <c r="H10" t="s">
        <v>87</v>
      </c>
      <c r="I10" t="s">
        <v>46</v>
      </c>
      <c r="J10" t="s">
        <v>97</v>
      </c>
    </row>
    <row r="11" spans="1:10" x14ac:dyDescent="0.3">
      <c r="A11" s="2" t="s">
        <v>57</v>
      </c>
      <c r="B11" t="s">
        <v>19</v>
      </c>
      <c r="C11" t="s">
        <v>40</v>
      </c>
      <c r="D11" t="s">
        <v>66</v>
      </c>
      <c r="E11">
        <v>123123</v>
      </c>
      <c r="F11">
        <v>132451251</v>
      </c>
      <c r="G11" t="s">
        <v>44</v>
      </c>
      <c r="H11" t="s">
        <v>87</v>
      </c>
      <c r="I11" t="s">
        <v>46</v>
      </c>
      <c r="J11" t="s">
        <v>98</v>
      </c>
    </row>
    <row r="12" spans="1:10" x14ac:dyDescent="0.3">
      <c r="A12" s="2" t="s">
        <v>58</v>
      </c>
      <c r="B12" t="s">
        <v>20</v>
      </c>
      <c r="C12" t="s">
        <v>40</v>
      </c>
      <c r="D12" t="s">
        <v>67</v>
      </c>
      <c r="E12">
        <v>123123</v>
      </c>
      <c r="F12">
        <v>132451251</v>
      </c>
      <c r="G12" t="s">
        <v>44</v>
      </c>
      <c r="H12" t="s">
        <v>87</v>
      </c>
      <c r="I12" t="s">
        <v>46</v>
      </c>
      <c r="J12" t="s">
        <v>99</v>
      </c>
    </row>
    <row r="13" spans="1:10" x14ac:dyDescent="0.3">
      <c r="A13" s="2" t="s">
        <v>59</v>
      </c>
      <c r="B13" t="s">
        <v>21</v>
      </c>
      <c r="C13" t="s">
        <v>40</v>
      </c>
      <c r="D13" t="s">
        <v>68</v>
      </c>
      <c r="E13">
        <v>123123</v>
      </c>
      <c r="F13">
        <v>132451251</v>
      </c>
      <c r="G13" t="s">
        <v>44</v>
      </c>
      <c r="H13" t="s">
        <v>87</v>
      </c>
      <c r="I13" t="s">
        <v>46</v>
      </c>
      <c r="J13" t="s">
        <v>100</v>
      </c>
    </row>
    <row r="14" spans="1:10" x14ac:dyDescent="0.3">
      <c r="A14" s="2" t="s">
        <v>48</v>
      </c>
      <c r="B14" t="s">
        <v>22</v>
      </c>
      <c r="C14" t="s">
        <v>40</v>
      </c>
      <c r="D14" t="s">
        <v>69</v>
      </c>
      <c r="E14">
        <v>123123</v>
      </c>
      <c r="F14">
        <v>132451251</v>
      </c>
      <c r="G14" t="s">
        <v>44</v>
      </c>
      <c r="H14" t="s">
        <v>87</v>
      </c>
      <c r="I14" t="s">
        <v>46</v>
      </c>
      <c r="J14" t="s">
        <v>101</v>
      </c>
    </row>
    <row r="15" spans="1:10" x14ac:dyDescent="0.3">
      <c r="A15" s="2" t="s">
        <v>49</v>
      </c>
      <c r="B15" t="s">
        <v>23</v>
      </c>
      <c r="C15" t="s">
        <v>40</v>
      </c>
      <c r="D15" t="s">
        <v>70</v>
      </c>
      <c r="E15">
        <v>123123</v>
      </c>
      <c r="F15">
        <v>132451251</v>
      </c>
      <c r="G15" t="s">
        <v>44</v>
      </c>
      <c r="H15" t="s">
        <v>87</v>
      </c>
      <c r="I15" t="s">
        <v>46</v>
      </c>
      <c r="J15" t="s">
        <v>102</v>
      </c>
    </row>
    <row r="16" spans="1:10" x14ac:dyDescent="0.3">
      <c r="A16" s="2" t="s">
        <v>50</v>
      </c>
      <c r="B16" t="s">
        <v>24</v>
      </c>
      <c r="C16" t="s">
        <v>40</v>
      </c>
      <c r="D16" t="s">
        <v>71</v>
      </c>
      <c r="E16">
        <v>123123</v>
      </c>
      <c r="F16">
        <v>132451251</v>
      </c>
      <c r="G16" t="s">
        <v>44</v>
      </c>
      <c r="H16" t="s">
        <v>87</v>
      </c>
      <c r="I16" t="s">
        <v>46</v>
      </c>
      <c r="J16" t="s">
        <v>103</v>
      </c>
    </row>
    <row r="17" spans="1:10" x14ac:dyDescent="0.3">
      <c r="A17" s="2" t="s">
        <v>51</v>
      </c>
      <c r="B17" t="s">
        <v>25</v>
      </c>
      <c r="C17" t="s">
        <v>40</v>
      </c>
      <c r="D17" t="s">
        <v>72</v>
      </c>
      <c r="E17">
        <v>123123</v>
      </c>
      <c r="F17">
        <v>132451251</v>
      </c>
      <c r="G17" t="s">
        <v>44</v>
      </c>
      <c r="H17" t="s">
        <v>87</v>
      </c>
      <c r="I17" t="s">
        <v>88</v>
      </c>
      <c r="J17" t="s">
        <v>104</v>
      </c>
    </row>
    <row r="18" spans="1:10" x14ac:dyDescent="0.3">
      <c r="A18" s="2" t="s">
        <v>52</v>
      </c>
      <c r="B18" t="s">
        <v>26</v>
      </c>
      <c r="C18" t="s">
        <v>40</v>
      </c>
      <c r="D18" t="s">
        <v>73</v>
      </c>
      <c r="E18">
        <v>123123</v>
      </c>
      <c r="F18">
        <v>132451251</v>
      </c>
      <c r="G18" t="s">
        <v>85</v>
      </c>
      <c r="H18" t="s">
        <v>87</v>
      </c>
      <c r="I18" t="s">
        <v>88</v>
      </c>
      <c r="J18" t="s">
        <v>105</v>
      </c>
    </row>
    <row r="19" spans="1:10" x14ac:dyDescent="0.3">
      <c r="A19" s="2" t="s">
        <v>53</v>
      </c>
      <c r="B19" t="s">
        <v>27</v>
      </c>
      <c r="C19" t="s">
        <v>40</v>
      </c>
      <c r="D19" t="s">
        <v>74</v>
      </c>
      <c r="E19">
        <v>123123</v>
      </c>
      <c r="F19">
        <v>132451251</v>
      </c>
      <c r="G19" t="s">
        <v>85</v>
      </c>
      <c r="H19" t="s">
        <v>87</v>
      </c>
      <c r="I19" t="s">
        <v>88</v>
      </c>
      <c r="J19" t="s">
        <v>106</v>
      </c>
    </row>
    <row r="20" spans="1:10" x14ac:dyDescent="0.3">
      <c r="A20" s="2" t="s">
        <v>54</v>
      </c>
      <c r="B20" t="s">
        <v>28</v>
      </c>
      <c r="C20" t="s">
        <v>41</v>
      </c>
      <c r="D20" t="s">
        <v>75</v>
      </c>
      <c r="E20">
        <v>123123</v>
      </c>
      <c r="F20">
        <v>132451251</v>
      </c>
      <c r="G20" t="s">
        <v>85</v>
      </c>
      <c r="H20" t="s">
        <v>45</v>
      </c>
      <c r="I20" t="s">
        <v>89</v>
      </c>
      <c r="J20" t="s">
        <v>107</v>
      </c>
    </row>
    <row r="21" spans="1:10" x14ac:dyDescent="0.3">
      <c r="A21" s="2" t="s">
        <v>55</v>
      </c>
      <c r="B21" t="s">
        <v>29</v>
      </c>
      <c r="C21" t="s">
        <v>41</v>
      </c>
      <c r="D21" t="s">
        <v>76</v>
      </c>
      <c r="E21">
        <v>123123</v>
      </c>
      <c r="F21">
        <v>132451251</v>
      </c>
      <c r="G21" t="s">
        <v>85</v>
      </c>
      <c r="H21" t="s">
        <v>45</v>
      </c>
      <c r="I21" t="s">
        <v>89</v>
      </c>
      <c r="J21" t="s">
        <v>107</v>
      </c>
    </row>
    <row r="22" spans="1:10" x14ac:dyDescent="0.3">
      <c r="A22" s="2" t="s">
        <v>56</v>
      </c>
      <c r="B22" t="s">
        <v>30</v>
      </c>
      <c r="C22" t="s">
        <v>41</v>
      </c>
      <c r="D22" t="s">
        <v>77</v>
      </c>
      <c r="E22">
        <v>123123</v>
      </c>
      <c r="F22">
        <v>132451251</v>
      </c>
      <c r="G22" t="s">
        <v>85</v>
      </c>
      <c r="H22" t="s">
        <v>45</v>
      </c>
      <c r="I22" t="s">
        <v>89</v>
      </c>
      <c r="J22" t="s">
        <v>107</v>
      </c>
    </row>
    <row r="23" spans="1:10" x14ac:dyDescent="0.3">
      <c r="A23" s="2" t="s">
        <v>57</v>
      </c>
      <c r="B23" t="s">
        <v>31</v>
      </c>
      <c r="C23" t="s">
        <v>41</v>
      </c>
      <c r="D23" t="s">
        <v>78</v>
      </c>
      <c r="E23">
        <v>123123</v>
      </c>
      <c r="F23">
        <v>132451251</v>
      </c>
      <c r="G23" t="s">
        <v>85</v>
      </c>
      <c r="H23" t="s">
        <v>45</v>
      </c>
      <c r="I23" t="s">
        <v>89</v>
      </c>
      <c r="J23" t="s">
        <v>107</v>
      </c>
    </row>
    <row r="24" spans="1:10" x14ac:dyDescent="0.3">
      <c r="A24" s="2" t="s">
        <v>58</v>
      </c>
      <c r="B24" t="s">
        <v>32</v>
      </c>
      <c r="C24" t="s">
        <v>41</v>
      </c>
      <c r="D24" t="s">
        <v>79</v>
      </c>
      <c r="E24">
        <v>123123</v>
      </c>
      <c r="F24">
        <v>132451251</v>
      </c>
      <c r="G24" t="s">
        <v>85</v>
      </c>
      <c r="H24" t="s">
        <v>45</v>
      </c>
      <c r="I24" t="s">
        <v>89</v>
      </c>
      <c r="J24" t="s">
        <v>107</v>
      </c>
    </row>
    <row r="25" spans="1:10" x14ac:dyDescent="0.3">
      <c r="A25" s="2" t="s">
        <v>59</v>
      </c>
      <c r="B25" t="s">
        <v>33</v>
      </c>
      <c r="C25" t="s">
        <v>41</v>
      </c>
      <c r="D25" t="s">
        <v>80</v>
      </c>
      <c r="E25">
        <v>123123</v>
      </c>
      <c r="F25">
        <v>132451251</v>
      </c>
      <c r="G25" t="s">
        <v>85</v>
      </c>
      <c r="H25" t="s">
        <v>45</v>
      </c>
      <c r="I25" t="s">
        <v>89</v>
      </c>
      <c r="J25" t="s">
        <v>107</v>
      </c>
    </row>
    <row r="26" spans="1:10" x14ac:dyDescent="0.3">
      <c r="A26" s="2" t="s">
        <v>50</v>
      </c>
      <c r="B26" t="s">
        <v>34</v>
      </c>
      <c r="C26" t="s">
        <v>41</v>
      </c>
      <c r="D26" t="s">
        <v>81</v>
      </c>
      <c r="E26">
        <v>123123</v>
      </c>
      <c r="F26">
        <v>132451251</v>
      </c>
      <c r="G26" t="s">
        <v>85</v>
      </c>
      <c r="H26" t="s">
        <v>45</v>
      </c>
      <c r="I26" t="s">
        <v>89</v>
      </c>
      <c r="J26" t="s">
        <v>107</v>
      </c>
    </row>
    <row r="27" spans="1:10" x14ac:dyDescent="0.3">
      <c r="A27" s="2" t="s">
        <v>51</v>
      </c>
      <c r="B27" t="s">
        <v>35</v>
      </c>
      <c r="C27" t="s">
        <v>41</v>
      </c>
      <c r="D27" t="s">
        <v>82</v>
      </c>
      <c r="E27">
        <v>123123</v>
      </c>
      <c r="F27">
        <v>132451251</v>
      </c>
      <c r="G27" t="s">
        <v>85</v>
      </c>
      <c r="H27" t="s">
        <v>45</v>
      </c>
      <c r="I27" t="s">
        <v>89</v>
      </c>
      <c r="J27" t="s">
        <v>107</v>
      </c>
    </row>
    <row r="28" spans="1:10" x14ac:dyDescent="0.3">
      <c r="A28" s="2" t="s">
        <v>52</v>
      </c>
      <c r="B28" t="s">
        <v>36</v>
      </c>
      <c r="C28" t="s">
        <v>42</v>
      </c>
      <c r="D28" t="s">
        <v>83</v>
      </c>
      <c r="E28">
        <v>123123</v>
      </c>
      <c r="F28">
        <v>353535355</v>
      </c>
      <c r="G28" t="s">
        <v>84</v>
      </c>
      <c r="H28" t="s">
        <v>45</v>
      </c>
      <c r="I28" t="s">
        <v>89</v>
      </c>
      <c r="J28" t="s">
        <v>107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39949-DCB8-4B96-8C46-B3612C78CC0A}">
  <dimension ref="A1:G14"/>
  <sheetViews>
    <sheetView workbookViewId="0">
      <selection activeCell="C24" sqref="C24"/>
    </sheetView>
  </sheetViews>
  <sheetFormatPr baseColWidth="10" defaultRowHeight="14.4" x14ac:dyDescent="0.3"/>
  <sheetData>
    <row r="1" spans="1:7" ht="16.8" x14ac:dyDescent="0.3">
      <c r="A1" s="3" t="s">
        <v>108</v>
      </c>
      <c r="B1" s="4"/>
      <c r="C1" s="4"/>
      <c r="D1" s="4"/>
      <c r="E1" s="4"/>
      <c r="F1" s="4"/>
      <c r="G1" s="4"/>
    </row>
    <row r="2" spans="1:7" x14ac:dyDescent="0.3">
      <c r="A2" s="5" t="s">
        <v>109</v>
      </c>
      <c r="B2" s="5" t="s">
        <v>0</v>
      </c>
      <c r="C2" s="5" t="s">
        <v>110</v>
      </c>
      <c r="D2" s="5" t="s">
        <v>111</v>
      </c>
      <c r="E2" s="5" t="s">
        <v>112</v>
      </c>
      <c r="F2" s="5" t="s">
        <v>113</v>
      </c>
      <c r="G2" s="5" t="s">
        <v>114</v>
      </c>
    </row>
    <row r="3" spans="1:7" x14ac:dyDescent="0.3">
      <c r="A3" s="6" t="s">
        <v>115</v>
      </c>
      <c r="B3" s="7" t="s">
        <v>116</v>
      </c>
      <c r="C3" s="6" t="s">
        <v>117</v>
      </c>
      <c r="D3" s="6">
        <v>19.083300000000001</v>
      </c>
      <c r="E3" s="6">
        <v>-102.35</v>
      </c>
      <c r="F3" s="8">
        <v>90551</v>
      </c>
      <c r="G3" s="9">
        <v>2.4742E-2</v>
      </c>
    </row>
    <row r="4" spans="1:7" x14ac:dyDescent="0.3">
      <c r="A4" s="6" t="s">
        <v>118</v>
      </c>
      <c r="B4" s="7" t="s">
        <v>119</v>
      </c>
      <c r="C4" s="6" t="s">
        <v>117</v>
      </c>
      <c r="D4" s="6">
        <v>20.05</v>
      </c>
      <c r="E4" s="6">
        <v>-100.5667</v>
      </c>
      <c r="F4" s="8">
        <v>91407</v>
      </c>
      <c r="G4" s="9">
        <v>2.4976000000000002E-2</v>
      </c>
    </row>
    <row r="5" spans="1:7" x14ac:dyDescent="0.3">
      <c r="A5" s="10" t="s">
        <v>120</v>
      </c>
      <c r="B5" s="11" t="s">
        <v>121</v>
      </c>
      <c r="C5" s="10" t="s">
        <v>117</v>
      </c>
      <c r="D5" s="10">
        <v>17.95</v>
      </c>
      <c r="E5" s="10">
        <v>-102.2</v>
      </c>
      <c r="F5" s="12">
        <v>143894</v>
      </c>
      <c r="G5" s="13">
        <v>3.9316999999999998E-2</v>
      </c>
    </row>
    <row r="6" spans="1:7" x14ac:dyDescent="0.3">
      <c r="A6" s="6" t="s">
        <v>122</v>
      </c>
      <c r="B6" s="7" t="s">
        <v>123</v>
      </c>
      <c r="C6" s="6" t="s">
        <v>117</v>
      </c>
      <c r="D6" s="6">
        <v>19.899999999999999</v>
      </c>
      <c r="E6" s="6">
        <v>-100.41670000000001</v>
      </c>
      <c r="F6" s="8">
        <v>65847</v>
      </c>
      <c r="G6" s="9">
        <v>1.7992000000000001E-2</v>
      </c>
    </row>
    <row r="7" spans="1:7" x14ac:dyDescent="0.3">
      <c r="A7" s="10" t="s">
        <v>124</v>
      </c>
      <c r="B7" s="11" t="s">
        <v>125</v>
      </c>
      <c r="C7" s="10" t="s">
        <v>117</v>
      </c>
      <c r="D7" s="10">
        <v>19.7</v>
      </c>
      <c r="E7" s="10">
        <v>-101.1833</v>
      </c>
      <c r="F7" s="12">
        <v>662728</v>
      </c>
      <c r="G7" s="13">
        <v>0.18108199999999999</v>
      </c>
    </row>
    <row r="8" spans="1:7" x14ac:dyDescent="0.3">
      <c r="A8" s="6" t="s">
        <v>126</v>
      </c>
      <c r="B8" s="7" t="s">
        <v>127</v>
      </c>
      <c r="C8" s="6" t="s">
        <v>117</v>
      </c>
      <c r="D8" s="6">
        <v>19.5167</v>
      </c>
      <c r="E8" s="6">
        <v>-101.6</v>
      </c>
      <c r="F8" s="8">
        <v>73568</v>
      </c>
      <c r="G8" s="9">
        <v>2.0101999999999998E-2</v>
      </c>
    </row>
    <row r="9" spans="1:7" x14ac:dyDescent="0.3">
      <c r="A9" s="10" t="s">
        <v>128</v>
      </c>
      <c r="B9" s="11" t="s">
        <v>129</v>
      </c>
      <c r="C9" s="10" t="s">
        <v>117</v>
      </c>
      <c r="D9" s="10">
        <v>20.350000000000001</v>
      </c>
      <c r="E9" s="10">
        <v>-102.0333</v>
      </c>
      <c r="F9" s="12">
        <v>84769</v>
      </c>
      <c r="G9" s="13">
        <v>2.3161999999999999E-2</v>
      </c>
    </row>
    <row r="10" spans="1:7" x14ac:dyDescent="0.3">
      <c r="A10" s="6" t="s">
        <v>130</v>
      </c>
      <c r="B10" s="7" t="s">
        <v>131</v>
      </c>
      <c r="C10" s="6" t="s">
        <v>117</v>
      </c>
      <c r="D10" s="6">
        <v>20.083300000000001</v>
      </c>
      <c r="E10" s="6">
        <v>-101.5333</v>
      </c>
      <c r="F10" s="8">
        <v>60669</v>
      </c>
      <c r="G10" s="9">
        <v>1.6577000000000001E-2</v>
      </c>
    </row>
    <row r="11" spans="1:7" x14ac:dyDescent="0.3">
      <c r="A11" s="6" t="s">
        <v>132</v>
      </c>
      <c r="B11" s="7" t="s">
        <v>133</v>
      </c>
      <c r="C11" s="6" t="s">
        <v>117</v>
      </c>
      <c r="D11" s="6">
        <v>19.8</v>
      </c>
      <c r="E11" s="6">
        <v>-101.0333</v>
      </c>
      <c r="F11" s="8">
        <v>75534</v>
      </c>
      <c r="G11" s="9">
        <v>2.0639000000000001E-2</v>
      </c>
    </row>
    <row r="12" spans="1:7" x14ac:dyDescent="0.3">
      <c r="A12" s="6" t="s">
        <v>134</v>
      </c>
      <c r="B12" s="7" t="s">
        <v>135</v>
      </c>
      <c r="C12" s="6" t="s">
        <v>117</v>
      </c>
      <c r="D12" s="6">
        <v>19.416699999999999</v>
      </c>
      <c r="E12" s="6">
        <v>-102.0667</v>
      </c>
      <c r="F12" s="8">
        <v>261359</v>
      </c>
      <c r="G12" s="9">
        <v>7.1413000000000004E-2</v>
      </c>
    </row>
    <row r="13" spans="1:7" x14ac:dyDescent="0.3">
      <c r="A13" s="6" t="s">
        <v>136</v>
      </c>
      <c r="B13" s="7" t="s">
        <v>137</v>
      </c>
      <c r="C13" s="6" t="s">
        <v>117</v>
      </c>
      <c r="D13" s="6">
        <v>19.9833</v>
      </c>
      <c r="E13" s="6">
        <v>-102.2833</v>
      </c>
      <c r="F13" s="8">
        <v>155202</v>
      </c>
      <c r="G13" s="9">
        <v>4.2407E-2</v>
      </c>
    </row>
    <row r="14" spans="1:7" x14ac:dyDescent="0.3">
      <c r="A14" s="6" t="s">
        <v>138</v>
      </c>
      <c r="B14" s="7" t="s">
        <v>139</v>
      </c>
      <c r="C14" s="6" t="s">
        <v>117</v>
      </c>
      <c r="D14" s="6">
        <v>19.433299999999999</v>
      </c>
      <c r="E14" s="6">
        <v>-100.36669999999999</v>
      </c>
      <c r="F14" s="8">
        <v>121561</v>
      </c>
      <c r="G14" s="9">
        <v>3.3215000000000001E-2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350AF-9318-40AD-B187-D31A2A8D947E}">
  <dimension ref="A1:F9"/>
  <sheetViews>
    <sheetView workbookViewId="0">
      <selection activeCell="G16" sqref="G16"/>
    </sheetView>
  </sheetViews>
  <sheetFormatPr baseColWidth="10" defaultRowHeight="14.4" x14ac:dyDescent="0.3"/>
  <sheetData>
    <row r="1" spans="1:6" ht="14.4" customHeight="1" x14ac:dyDescent="0.3">
      <c r="A1" s="21" t="s">
        <v>140</v>
      </c>
      <c r="B1" s="21" t="s">
        <v>141</v>
      </c>
      <c r="C1" s="21" t="s">
        <v>142</v>
      </c>
      <c r="D1" s="21" t="s">
        <v>281</v>
      </c>
      <c r="E1" s="21" t="s">
        <v>282</v>
      </c>
      <c r="F1" s="21" t="s">
        <v>283</v>
      </c>
    </row>
    <row r="2" spans="1:6" x14ac:dyDescent="0.3">
      <c r="A2" s="21" t="s">
        <v>143</v>
      </c>
      <c r="B2" s="21">
        <v>569754</v>
      </c>
      <c r="C2" s="21">
        <v>0.33800000000000002</v>
      </c>
      <c r="D2" s="21" t="s">
        <v>143</v>
      </c>
      <c r="E2" s="21">
        <v>455731</v>
      </c>
      <c r="F2" s="21">
        <v>0.22739999999999999</v>
      </c>
    </row>
    <row r="3" spans="1:6" x14ac:dyDescent="0.3">
      <c r="A3" s="21" t="s">
        <v>144</v>
      </c>
      <c r="B3" s="21">
        <v>243877</v>
      </c>
      <c r="C3" s="21">
        <v>0.1447</v>
      </c>
      <c r="D3" s="21" t="s">
        <v>144</v>
      </c>
      <c r="E3" s="21">
        <v>222097</v>
      </c>
      <c r="F3" s="21">
        <v>0.1108</v>
      </c>
    </row>
    <row r="4" spans="1:6" x14ac:dyDescent="0.3">
      <c r="A4" s="21" t="s">
        <v>145</v>
      </c>
      <c r="B4" s="21">
        <v>214895</v>
      </c>
      <c r="C4" s="21">
        <v>0.1275</v>
      </c>
      <c r="D4" s="21" t="s">
        <v>145</v>
      </c>
      <c r="E4" s="21">
        <v>320193</v>
      </c>
      <c r="F4" s="21">
        <v>0.1598</v>
      </c>
    </row>
    <row r="5" spans="1:6" x14ac:dyDescent="0.3">
      <c r="A5" s="21" t="s">
        <v>146</v>
      </c>
      <c r="B5" s="21">
        <v>65687</v>
      </c>
      <c r="C5" s="21">
        <v>3.9E-2</v>
      </c>
      <c r="D5" s="21" t="s">
        <v>146</v>
      </c>
      <c r="E5" s="21">
        <v>175959</v>
      </c>
      <c r="F5" s="21">
        <v>8.7800000000000003E-2</v>
      </c>
    </row>
    <row r="6" spans="1:6" x14ac:dyDescent="0.3">
      <c r="A6" s="21" t="s">
        <v>147</v>
      </c>
      <c r="B6" s="21">
        <v>98269</v>
      </c>
      <c r="C6" s="21">
        <v>5.8299999999999998E-2</v>
      </c>
      <c r="D6" s="21" t="s">
        <v>147</v>
      </c>
      <c r="E6" s="21">
        <v>118721</v>
      </c>
      <c r="F6" s="21">
        <v>5.9200000000000003E-2</v>
      </c>
    </row>
    <row r="7" spans="1:6" x14ac:dyDescent="0.3">
      <c r="A7" s="21" t="s">
        <v>148</v>
      </c>
      <c r="B7" s="21">
        <v>115370</v>
      </c>
      <c r="C7" s="21">
        <v>6.8400000000000002E-2</v>
      </c>
      <c r="D7" s="21" t="s">
        <v>148</v>
      </c>
      <c r="E7" s="21">
        <v>136148</v>
      </c>
      <c r="F7" s="21">
        <v>6.7900000000000002E-2</v>
      </c>
    </row>
    <row r="8" spans="1:6" x14ac:dyDescent="0.3">
      <c r="A8" s="21" t="s">
        <v>149</v>
      </c>
      <c r="B8" s="21">
        <v>210393</v>
      </c>
      <c r="C8" s="21">
        <v>0.12479999999999999</v>
      </c>
      <c r="D8" s="21" t="s">
        <v>149</v>
      </c>
      <c r="E8" s="21">
        <v>161655</v>
      </c>
      <c r="F8" s="21">
        <v>8.0699999999999994E-2</v>
      </c>
    </row>
    <row r="9" spans="1:6" x14ac:dyDescent="0.3">
      <c r="A9" s="21" t="s">
        <v>150</v>
      </c>
      <c r="B9" s="21">
        <v>53979</v>
      </c>
      <c r="C9" s="21">
        <v>3.2000000000000001E-2</v>
      </c>
      <c r="D9" s="21" t="s">
        <v>150</v>
      </c>
      <c r="E9" s="21">
        <v>47533</v>
      </c>
      <c r="F9" s="21">
        <v>2.3699999999999999E-2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70BDA-0D94-498B-B780-D42980B1FA29}">
  <dimension ref="A1:M25"/>
  <sheetViews>
    <sheetView workbookViewId="0">
      <selection activeCell="Q9" sqref="Q9"/>
    </sheetView>
  </sheetViews>
  <sheetFormatPr baseColWidth="10" defaultRowHeight="14.4" x14ac:dyDescent="0.3"/>
  <sheetData>
    <row r="1" spans="1:13" ht="28.8" x14ac:dyDescent="0.3">
      <c r="A1" s="14" t="s">
        <v>151</v>
      </c>
      <c r="B1" s="14" t="s">
        <v>145</v>
      </c>
      <c r="C1" s="14" t="s">
        <v>144</v>
      </c>
      <c r="D1" s="14" t="s">
        <v>149</v>
      </c>
      <c r="E1" s="14" t="s">
        <v>152</v>
      </c>
      <c r="F1" s="14" t="s">
        <v>153</v>
      </c>
      <c r="G1" s="14" t="s">
        <v>154</v>
      </c>
      <c r="H1" s="14" t="s">
        <v>155</v>
      </c>
      <c r="I1" s="14" t="s">
        <v>156</v>
      </c>
      <c r="J1" s="14" t="s">
        <v>157</v>
      </c>
      <c r="K1" s="14" t="s">
        <v>158</v>
      </c>
      <c r="L1" s="14" t="s">
        <v>159</v>
      </c>
      <c r="M1" s="14" t="s">
        <v>160</v>
      </c>
    </row>
    <row r="2" spans="1:13" ht="28.8" x14ac:dyDescent="0.3">
      <c r="A2" s="2">
        <v>1</v>
      </c>
      <c r="B2" s="15">
        <v>137</v>
      </c>
      <c r="C2" s="15">
        <v>42</v>
      </c>
      <c r="D2" s="15">
        <v>20</v>
      </c>
      <c r="E2" s="15">
        <v>32</v>
      </c>
      <c r="F2" s="15">
        <v>35</v>
      </c>
      <c r="G2" s="15">
        <v>326</v>
      </c>
      <c r="H2" s="15">
        <v>95</v>
      </c>
      <c r="I2" s="2" t="s">
        <v>48</v>
      </c>
      <c r="J2" s="16" t="s">
        <v>161</v>
      </c>
      <c r="K2" s="16" t="s">
        <v>162</v>
      </c>
      <c r="L2" s="15">
        <v>1188</v>
      </c>
      <c r="M2" s="2">
        <v>16</v>
      </c>
    </row>
    <row r="3" spans="1:13" ht="28.8" x14ac:dyDescent="0.3">
      <c r="A3" s="2">
        <v>2</v>
      </c>
      <c r="B3" s="17">
        <v>124</v>
      </c>
      <c r="C3" s="17">
        <v>51</v>
      </c>
      <c r="D3" s="17">
        <v>24</v>
      </c>
      <c r="E3" s="17">
        <v>20</v>
      </c>
      <c r="F3" s="17">
        <v>34</v>
      </c>
      <c r="G3" s="17">
        <v>290</v>
      </c>
      <c r="H3" s="17">
        <v>73</v>
      </c>
      <c r="I3" s="2" t="s">
        <v>49</v>
      </c>
      <c r="J3" s="18" t="s">
        <v>161</v>
      </c>
      <c r="K3" s="18" t="s">
        <v>163</v>
      </c>
      <c r="L3" s="17">
        <v>1023</v>
      </c>
      <c r="M3" s="2">
        <v>16</v>
      </c>
    </row>
    <row r="4" spans="1:13" ht="28.8" x14ac:dyDescent="0.3">
      <c r="A4" s="2">
        <v>3</v>
      </c>
      <c r="B4" s="15">
        <v>141</v>
      </c>
      <c r="C4" s="15">
        <v>49</v>
      </c>
      <c r="D4" s="15">
        <v>12</v>
      </c>
      <c r="E4" s="15">
        <v>23</v>
      </c>
      <c r="F4" s="15">
        <v>22</v>
      </c>
      <c r="G4" s="15">
        <v>289</v>
      </c>
      <c r="H4" s="15">
        <v>92</v>
      </c>
      <c r="I4" s="2" t="s">
        <v>50</v>
      </c>
      <c r="J4" s="16" t="s">
        <v>161</v>
      </c>
      <c r="K4" s="16" t="s">
        <v>164</v>
      </c>
      <c r="L4" s="15">
        <v>1081</v>
      </c>
      <c r="M4" s="2">
        <v>16</v>
      </c>
    </row>
    <row r="5" spans="1:13" x14ac:dyDescent="0.3">
      <c r="A5" s="2">
        <v>4</v>
      </c>
      <c r="B5" s="17">
        <v>82</v>
      </c>
      <c r="C5" s="17">
        <v>41</v>
      </c>
      <c r="D5" s="17">
        <v>13</v>
      </c>
      <c r="E5" s="17">
        <v>15</v>
      </c>
      <c r="F5" s="17">
        <v>9</v>
      </c>
      <c r="G5" s="17">
        <v>189</v>
      </c>
      <c r="H5" s="17">
        <v>41</v>
      </c>
      <c r="I5" s="2" t="s">
        <v>51</v>
      </c>
      <c r="J5" s="18" t="s">
        <v>165</v>
      </c>
      <c r="K5" s="18" t="s">
        <v>166</v>
      </c>
      <c r="L5" s="17">
        <v>352</v>
      </c>
      <c r="M5" s="2">
        <v>16</v>
      </c>
    </row>
    <row r="6" spans="1:13" x14ac:dyDescent="0.3">
      <c r="A6" s="2">
        <v>5</v>
      </c>
      <c r="B6" s="15">
        <v>140</v>
      </c>
      <c r="C6" s="15">
        <v>44</v>
      </c>
      <c r="D6" s="15">
        <v>11</v>
      </c>
      <c r="E6" s="15">
        <v>10</v>
      </c>
      <c r="F6" s="15">
        <v>18</v>
      </c>
      <c r="G6" s="15">
        <v>268</v>
      </c>
      <c r="H6" s="15">
        <v>96</v>
      </c>
      <c r="I6" s="2" t="s">
        <v>52</v>
      </c>
      <c r="J6" s="16" t="s">
        <v>165</v>
      </c>
      <c r="K6" s="16" t="s">
        <v>167</v>
      </c>
      <c r="L6" s="15">
        <v>579</v>
      </c>
      <c r="M6" s="2">
        <v>16</v>
      </c>
    </row>
    <row r="7" spans="1:13" x14ac:dyDescent="0.3">
      <c r="A7" s="2">
        <v>6</v>
      </c>
      <c r="B7" s="17">
        <v>120</v>
      </c>
      <c r="C7" s="17">
        <v>59</v>
      </c>
      <c r="D7" s="17">
        <v>23</v>
      </c>
      <c r="E7" s="17">
        <v>20</v>
      </c>
      <c r="F7" s="17">
        <v>23</v>
      </c>
      <c r="G7" s="17">
        <v>286</v>
      </c>
      <c r="H7" s="17">
        <v>61</v>
      </c>
      <c r="I7" s="2" t="s">
        <v>53</v>
      </c>
      <c r="J7" s="18" t="s">
        <v>165</v>
      </c>
      <c r="K7" s="18" t="s">
        <v>168</v>
      </c>
      <c r="L7" s="17">
        <v>218</v>
      </c>
      <c r="M7" s="2">
        <v>16</v>
      </c>
    </row>
    <row r="8" spans="1:13" x14ac:dyDescent="0.3">
      <c r="A8" s="2">
        <v>7</v>
      </c>
      <c r="B8" s="15">
        <v>72</v>
      </c>
      <c r="C8" s="15">
        <v>42</v>
      </c>
      <c r="D8" s="15">
        <v>7</v>
      </c>
      <c r="E8" s="15">
        <v>20</v>
      </c>
      <c r="F8" s="15">
        <v>36</v>
      </c>
      <c r="G8" s="15">
        <v>214</v>
      </c>
      <c r="H8" s="15">
        <v>30</v>
      </c>
      <c r="I8" s="2" t="s">
        <v>54</v>
      </c>
      <c r="J8" s="16" t="s">
        <v>165</v>
      </c>
      <c r="K8" s="16" t="s">
        <v>169</v>
      </c>
      <c r="L8" s="15">
        <v>94</v>
      </c>
      <c r="M8" s="2">
        <v>16</v>
      </c>
    </row>
    <row r="9" spans="1:13" ht="43.2" x14ac:dyDescent="0.3">
      <c r="A9" s="2">
        <v>8</v>
      </c>
      <c r="B9" s="17">
        <v>129</v>
      </c>
      <c r="C9" s="17">
        <v>46</v>
      </c>
      <c r="D9" s="17">
        <v>10</v>
      </c>
      <c r="E9" s="17">
        <v>26</v>
      </c>
      <c r="F9" s="17">
        <v>24</v>
      </c>
      <c r="G9" s="17">
        <v>284</v>
      </c>
      <c r="H9" s="17">
        <v>83</v>
      </c>
      <c r="I9" s="2" t="s">
        <v>55</v>
      </c>
      <c r="J9" s="18" t="s">
        <v>170</v>
      </c>
      <c r="K9" s="18" t="s">
        <v>171</v>
      </c>
      <c r="L9" s="17">
        <v>1507</v>
      </c>
      <c r="M9" s="2">
        <v>16</v>
      </c>
    </row>
    <row r="10" spans="1:13" x14ac:dyDescent="0.3">
      <c r="A10" s="2">
        <v>9</v>
      </c>
      <c r="B10" s="15">
        <v>114</v>
      </c>
      <c r="C10" s="15">
        <v>31</v>
      </c>
      <c r="D10" s="15">
        <v>10</v>
      </c>
      <c r="E10" s="15">
        <v>18</v>
      </c>
      <c r="F10" s="15">
        <v>15</v>
      </c>
      <c r="G10" s="15">
        <v>212</v>
      </c>
      <c r="H10" s="15">
        <v>83</v>
      </c>
      <c r="I10" s="2" t="s">
        <v>56</v>
      </c>
      <c r="J10" s="16" t="s">
        <v>165</v>
      </c>
      <c r="K10" s="16" t="s">
        <v>172</v>
      </c>
      <c r="L10" s="15">
        <v>620</v>
      </c>
      <c r="M10" s="2">
        <v>16</v>
      </c>
    </row>
    <row r="11" spans="1:13" x14ac:dyDescent="0.3">
      <c r="A11" s="2">
        <v>10</v>
      </c>
      <c r="B11" s="17">
        <v>125</v>
      </c>
      <c r="C11" s="17">
        <v>32</v>
      </c>
      <c r="D11" s="17">
        <v>15</v>
      </c>
      <c r="E11" s="17">
        <v>16</v>
      </c>
      <c r="F11" s="17">
        <v>10</v>
      </c>
      <c r="G11" s="17">
        <v>228</v>
      </c>
      <c r="H11" s="17">
        <v>93</v>
      </c>
      <c r="I11" s="2" t="s">
        <v>57</v>
      </c>
      <c r="J11" s="18" t="s">
        <v>165</v>
      </c>
      <c r="K11" s="18" t="s">
        <v>173</v>
      </c>
      <c r="L11" s="17">
        <v>640</v>
      </c>
      <c r="M11" s="2">
        <v>16</v>
      </c>
    </row>
    <row r="12" spans="1:13" ht="28.8" x14ac:dyDescent="0.3">
      <c r="A12" s="2">
        <v>11</v>
      </c>
      <c r="B12" s="15">
        <v>140</v>
      </c>
      <c r="C12" s="15">
        <v>54</v>
      </c>
      <c r="D12" s="15">
        <v>16</v>
      </c>
      <c r="E12" s="15">
        <v>18</v>
      </c>
      <c r="F12" s="15">
        <v>23</v>
      </c>
      <c r="G12" s="15">
        <v>293</v>
      </c>
      <c r="H12" s="15">
        <v>86</v>
      </c>
      <c r="I12" s="2" t="s">
        <v>58</v>
      </c>
      <c r="J12" s="16" t="s">
        <v>161</v>
      </c>
      <c r="K12" s="16" t="s">
        <v>174</v>
      </c>
      <c r="L12" s="15">
        <v>979</v>
      </c>
      <c r="M12" s="2">
        <v>16</v>
      </c>
    </row>
    <row r="13" spans="1:13" ht="43.2" x14ac:dyDescent="0.3">
      <c r="A13" s="2">
        <v>12</v>
      </c>
      <c r="B13" s="17">
        <v>121</v>
      </c>
      <c r="C13" s="17">
        <v>31</v>
      </c>
      <c r="D13" s="17">
        <v>1</v>
      </c>
      <c r="E13" s="17">
        <v>15</v>
      </c>
      <c r="F13" s="17">
        <v>16</v>
      </c>
      <c r="G13" s="17">
        <v>197</v>
      </c>
      <c r="H13" s="17">
        <v>90</v>
      </c>
      <c r="I13" s="2" t="s">
        <v>59</v>
      </c>
      <c r="J13" s="18" t="s">
        <v>175</v>
      </c>
      <c r="K13" s="18" t="s">
        <v>176</v>
      </c>
      <c r="L13" s="17">
        <v>1520</v>
      </c>
      <c r="M13" s="2">
        <v>16</v>
      </c>
    </row>
    <row r="14" spans="1:13" ht="28.8" x14ac:dyDescent="0.3">
      <c r="A14" s="2">
        <v>13</v>
      </c>
      <c r="B14" s="15">
        <v>101</v>
      </c>
      <c r="C14" s="15">
        <v>29</v>
      </c>
      <c r="D14" s="15">
        <v>7</v>
      </c>
      <c r="E14" s="15">
        <v>8</v>
      </c>
      <c r="F14" s="15">
        <v>9</v>
      </c>
      <c r="G14" s="15">
        <v>171</v>
      </c>
      <c r="H14" s="15">
        <v>72</v>
      </c>
      <c r="I14" s="2" t="s">
        <v>48</v>
      </c>
      <c r="J14" s="16" t="s">
        <v>161</v>
      </c>
      <c r="K14" s="16" t="s">
        <v>177</v>
      </c>
      <c r="L14" s="15">
        <v>1103</v>
      </c>
      <c r="M14" s="2">
        <v>16</v>
      </c>
    </row>
    <row r="15" spans="1:13" ht="28.8" x14ac:dyDescent="0.3">
      <c r="A15" s="2">
        <v>14</v>
      </c>
      <c r="B15" s="17">
        <v>136</v>
      </c>
      <c r="C15" s="17">
        <v>53</v>
      </c>
      <c r="D15" s="17">
        <v>12</v>
      </c>
      <c r="E15" s="17">
        <v>9</v>
      </c>
      <c r="F15" s="17">
        <v>20</v>
      </c>
      <c r="G15" s="17">
        <v>265</v>
      </c>
      <c r="H15" s="17">
        <v>83</v>
      </c>
      <c r="I15" s="2" t="s">
        <v>49</v>
      </c>
      <c r="J15" s="18" t="s">
        <v>161</v>
      </c>
      <c r="K15" s="18" t="s">
        <v>178</v>
      </c>
      <c r="L15" s="17">
        <v>1027</v>
      </c>
      <c r="M15" s="2">
        <v>16</v>
      </c>
    </row>
    <row r="16" spans="1:13" ht="28.8" x14ac:dyDescent="0.3">
      <c r="A16" s="2">
        <v>15</v>
      </c>
      <c r="B16" s="15">
        <v>108</v>
      </c>
      <c r="C16" s="15">
        <v>37</v>
      </c>
      <c r="D16" s="15">
        <v>3</v>
      </c>
      <c r="E16" s="15">
        <v>5</v>
      </c>
      <c r="F16" s="15">
        <v>16</v>
      </c>
      <c r="G16" s="15">
        <v>190</v>
      </c>
      <c r="H16" s="15">
        <v>71</v>
      </c>
      <c r="I16" s="2" t="s">
        <v>50</v>
      </c>
      <c r="J16" s="16" t="s">
        <v>161</v>
      </c>
      <c r="K16" s="16" t="s">
        <v>179</v>
      </c>
      <c r="L16" s="15">
        <v>762</v>
      </c>
      <c r="M16" s="2">
        <v>16</v>
      </c>
    </row>
    <row r="17" spans="1:13" x14ac:dyDescent="0.3">
      <c r="A17" s="2">
        <v>16</v>
      </c>
      <c r="B17" s="17">
        <v>100</v>
      </c>
      <c r="C17" s="17">
        <v>23</v>
      </c>
      <c r="D17" s="17">
        <v>6</v>
      </c>
      <c r="E17" s="17">
        <v>13</v>
      </c>
      <c r="F17" s="17">
        <v>16</v>
      </c>
      <c r="G17" s="17">
        <v>178</v>
      </c>
      <c r="H17" s="17">
        <v>77</v>
      </c>
      <c r="I17" s="2" t="s">
        <v>51</v>
      </c>
      <c r="J17" s="18" t="s">
        <v>165</v>
      </c>
      <c r="K17" s="18" t="s">
        <v>180</v>
      </c>
      <c r="L17" s="17">
        <v>718</v>
      </c>
      <c r="M17" s="2">
        <v>16</v>
      </c>
    </row>
    <row r="18" spans="1:13" ht="28.8" x14ac:dyDescent="0.3">
      <c r="A18" s="2">
        <v>17</v>
      </c>
      <c r="B18" s="15">
        <v>59</v>
      </c>
      <c r="C18" s="15">
        <v>37</v>
      </c>
      <c r="D18" s="15">
        <v>22</v>
      </c>
      <c r="E18" s="15">
        <v>27</v>
      </c>
      <c r="F18" s="15">
        <v>15</v>
      </c>
      <c r="G18" s="15">
        <v>207</v>
      </c>
      <c r="H18" s="15">
        <v>22</v>
      </c>
      <c r="I18" s="2" t="s">
        <v>52</v>
      </c>
      <c r="J18" s="16" t="s">
        <v>161</v>
      </c>
      <c r="K18" s="16" t="s">
        <v>181</v>
      </c>
      <c r="L18" s="15">
        <v>833</v>
      </c>
      <c r="M18" s="2">
        <v>16</v>
      </c>
    </row>
    <row r="19" spans="1:13" x14ac:dyDescent="0.3">
      <c r="A19" s="2">
        <v>18</v>
      </c>
      <c r="B19" s="17">
        <v>58</v>
      </c>
      <c r="C19" s="17">
        <v>22</v>
      </c>
      <c r="D19" s="17">
        <v>5</v>
      </c>
      <c r="E19" s="17">
        <v>2</v>
      </c>
      <c r="F19" s="17">
        <v>3</v>
      </c>
      <c r="G19" s="17">
        <v>105</v>
      </c>
      <c r="H19" s="17">
        <v>36</v>
      </c>
      <c r="I19" s="2" t="s">
        <v>53</v>
      </c>
      <c r="J19" s="18" t="s">
        <v>165</v>
      </c>
      <c r="K19" s="18" t="s">
        <v>182</v>
      </c>
      <c r="L19" s="17">
        <v>742</v>
      </c>
      <c r="M19" s="2">
        <v>16</v>
      </c>
    </row>
    <row r="20" spans="1:13" x14ac:dyDescent="0.3">
      <c r="A20" s="2">
        <v>19</v>
      </c>
      <c r="B20" s="15">
        <v>25</v>
      </c>
      <c r="C20" s="15">
        <v>20</v>
      </c>
      <c r="D20" s="15">
        <v>4</v>
      </c>
      <c r="E20" s="15">
        <v>1</v>
      </c>
      <c r="F20" s="15">
        <v>2</v>
      </c>
      <c r="G20" s="15">
        <v>58</v>
      </c>
      <c r="H20" s="15">
        <v>5</v>
      </c>
      <c r="I20" s="2" t="s">
        <v>54</v>
      </c>
      <c r="J20" s="16" t="s">
        <v>165</v>
      </c>
      <c r="K20" s="16" t="s">
        <v>165</v>
      </c>
      <c r="L20" s="19"/>
      <c r="M20" s="2">
        <v>16</v>
      </c>
    </row>
    <row r="21" spans="1:13" x14ac:dyDescent="0.3">
      <c r="A21" s="2">
        <v>20</v>
      </c>
      <c r="B21" s="17">
        <v>83</v>
      </c>
      <c r="C21" s="17">
        <v>28</v>
      </c>
      <c r="D21" s="17">
        <v>8</v>
      </c>
      <c r="E21" s="17">
        <v>6</v>
      </c>
      <c r="F21" s="17">
        <v>13</v>
      </c>
      <c r="G21" s="17">
        <v>170</v>
      </c>
      <c r="H21" s="17">
        <v>55</v>
      </c>
      <c r="I21" s="2" t="s">
        <v>55</v>
      </c>
      <c r="J21" s="18" t="s">
        <v>165</v>
      </c>
      <c r="K21" s="18" t="s">
        <v>165</v>
      </c>
      <c r="L21" s="20"/>
      <c r="M21" s="2">
        <v>16</v>
      </c>
    </row>
    <row r="22" spans="1:13" ht="28.8" x14ac:dyDescent="0.3">
      <c r="A22" s="2">
        <v>21</v>
      </c>
      <c r="B22" s="15">
        <v>158</v>
      </c>
      <c r="C22" s="15">
        <v>60</v>
      </c>
      <c r="D22" s="15">
        <v>30</v>
      </c>
      <c r="E22" s="15">
        <v>34</v>
      </c>
      <c r="F22" s="15">
        <v>26</v>
      </c>
      <c r="G22" s="15">
        <v>383</v>
      </c>
      <c r="H22" s="15">
        <v>98</v>
      </c>
      <c r="I22" s="2" t="s">
        <v>56</v>
      </c>
      <c r="J22" s="16" t="s">
        <v>161</v>
      </c>
      <c r="K22" s="16" t="s">
        <v>161</v>
      </c>
      <c r="L22" s="19"/>
      <c r="M22" s="2">
        <v>16</v>
      </c>
    </row>
    <row r="23" spans="1:13" ht="28.8" x14ac:dyDescent="0.3">
      <c r="A23" s="2">
        <v>22</v>
      </c>
      <c r="B23" s="17">
        <v>148</v>
      </c>
      <c r="C23" s="17">
        <v>54</v>
      </c>
      <c r="D23" s="17">
        <v>43</v>
      </c>
      <c r="E23" s="17">
        <v>43</v>
      </c>
      <c r="F23" s="17">
        <v>32</v>
      </c>
      <c r="G23" s="17">
        <v>400</v>
      </c>
      <c r="H23" s="17">
        <v>94</v>
      </c>
      <c r="I23" s="2" t="s">
        <v>57</v>
      </c>
      <c r="J23" s="18" t="s">
        <v>161</v>
      </c>
      <c r="K23" s="18" t="s">
        <v>161</v>
      </c>
      <c r="L23" s="20"/>
      <c r="M23" s="2">
        <v>16</v>
      </c>
    </row>
    <row r="24" spans="1:13" x14ac:dyDescent="0.3">
      <c r="A24" s="2">
        <v>23</v>
      </c>
      <c r="B24" s="15">
        <v>123</v>
      </c>
      <c r="C24" s="15">
        <v>31</v>
      </c>
      <c r="D24" s="15">
        <v>7</v>
      </c>
      <c r="E24" s="15">
        <v>21</v>
      </c>
      <c r="F24" s="15">
        <v>27</v>
      </c>
      <c r="G24" s="15">
        <v>262</v>
      </c>
      <c r="H24" s="15">
        <v>92</v>
      </c>
      <c r="I24" s="2" t="s">
        <v>58</v>
      </c>
      <c r="J24" s="16" t="s">
        <v>165</v>
      </c>
      <c r="K24" s="16" t="s">
        <v>165</v>
      </c>
      <c r="L24" s="19"/>
      <c r="M24" s="2">
        <v>16</v>
      </c>
    </row>
    <row r="25" spans="1:13" x14ac:dyDescent="0.3">
      <c r="A25" s="2">
        <v>24</v>
      </c>
      <c r="B25" s="17">
        <v>102</v>
      </c>
      <c r="C25" s="17">
        <v>46</v>
      </c>
      <c r="D25" s="17">
        <v>20</v>
      </c>
      <c r="E25" s="17">
        <v>29</v>
      </c>
      <c r="F25" s="17">
        <v>25</v>
      </c>
      <c r="G25" s="17">
        <v>281</v>
      </c>
      <c r="H25" s="17">
        <v>56</v>
      </c>
      <c r="I25" s="2" t="s">
        <v>59</v>
      </c>
      <c r="J25" s="18" t="s">
        <v>165</v>
      </c>
      <c r="K25" s="18" t="s">
        <v>165</v>
      </c>
      <c r="L25" s="20"/>
      <c r="M25" s="2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E7A40-0FC2-4EE3-9782-D3D61E63F4E1}">
  <dimension ref="A1:G22"/>
  <sheetViews>
    <sheetView workbookViewId="0">
      <selection activeCell="J14" sqref="J14"/>
    </sheetView>
  </sheetViews>
  <sheetFormatPr baseColWidth="10" defaultRowHeight="14.4" x14ac:dyDescent="0.3"/>
  <sheetData>
    <row r="1" spans="1:7" x14ac:dyDescent="0.3">
      <c r="A1" t="s">
        <v>183</v>
      </c>
      <c r="B1" t="s">
        <v>184</v>
      </c>
      <c r="C1" t="s">
        <v>185</v>
      </c>
      <c r="D1" t="s">
        <v>186</v>
      </c>
      <c r="E1" t="s">
        <v>187</v>
      </c>
      <c r="F1" t="s">
        <v>188</v>
      </c>
      <c r="G1" t="s">
        <v>189</v>
      </c>
    </row>
    <row r="2" spans="1:7" x14ac:dyDescent="0.3">
      <c r="A2" t="s">
        <v>190</v>
      </c>
      <c r="B2">
        <v>3</v>
      </c>
      <c r="C2">
        <v>3</v>
      </c>
      <c r="D2">
        <v>1</v>
      </c>
      <c r="E2">
        <v>3</v>
      </c>
      <c r="F2">
        <v>3</v>
      </c>
      <c r="G2">
        <f>B2+C2+D2+E2+H2</f>
        <v>10</v>
      </c>
    </row>
    <row r="3" spans="1:7" x14ac:dyDescent="0.3">
      <c r="A3" t="s">
        <v>191</v>
      </c>
      <c r="B3">
        <v>3</v>
      </c>
      <c r="C3">
        <v>2</v>
      </c>
      <c r="D3">
        <v>3</v>
      </c>
      <c r="E3">
        <v>1</v>
      </c>
      <c r="F3">
        <v>3</v>
      </c>
      <c r="G3">
        <f t="shared" ref="G3:G21" si="0">B3+C3+D3+E3+H3</f>
        <v>9</v>
      </c>
    </row>
    <row r="4" spans="1:7" x14ac:dyDescent="0.3">
      <c r="A4" t="s">
        <v>192</v>
      </c>
      <c r="B4">
        <v>2</v>
      </c>
      <c r="C4">
        <v>1</v>
      </c>
      <c r="D4">
        <v>2</v>
      </c>
      <c r="E4">
        <v>2</v>
      </c>
      <c r="F4">
        <v>3</v>
      </c>
      <c r="G4">
        <f t="shared" si="0"/>
        <v>7</v>
      </c>
    </row>
    <row r="5" spans="1:7" x14ac:dyDescent="0.3">
      <c r="A5" t="s">
        <v>193</v>
      </c>
      <c r="B5">
        <v>1</v>
      </c>
      <c r="C5">
        <v>3</v>
      </c>
      <c r="D5">
        <v>2</v>
      </c>
      <c r="E5">
        <v>3</v>
      </c>
      <c r="F5">
        <v>3</v>
      </c>
      <c r="G5">
        <f t="shared" si="0"/>
        <v>9</v>
      </c>
    </row>
    <row r="6" spans="1:7" x14ac:dyDescent="0.3">
      <c r="A6" t="s">
        <v>194</v>
      </c>
      <c r="B6">
        <v>2</v>
      </c>
      <c r="C6">
        <v>2</v>
      </c>
      <c r="D6">
        <v>2</v>
      </c>
      <c r="E6">
        <v>2</v>
      </c>
      <c r="F6">
        <v>1</v>
      </c>
      <c r="G6">
        <f t="shared" si="0"/>
        <v>8</v>
      </c>
    </row>
    <row r="7" spans="1:7" x14ac:dyDescent="0.3">
      <c r="A7" t="s">
        <v>195</v>
      </c>
      <c r="B7">
        <v>3</v>
      </c>
      <c r="C7">
        <v>3</v>
      </c>
      <c r="D7">
        <v>3</v>
      </c>
      <c r="E7">
        <v>2</v>
      </c>
      <c r="F7">
        <v>3</v>
      </c>
      <c r="G7">
        <f t="shared" si="0"/>
        <v>11</v>
      </c>
    </row>
    <row r="8" spans="1:7" x14ac:dyDescent="0.3">
      <c r="A8" t="s">
        <v>196</v>
      </c>
      <c r="B8">
        <v>2</v>
      </c>
      <c r="C8">
        <v>2</v>
      </c>
      <c r="D8">
        <v>1</v>
      </c>
      <c r="E8">
        <v>2</v>
      </c>
      <c r="F8">
        <v>1</v>
      </c>
      <c r="G8">
        <f t="shared" si="0"/>
        <v>7</v>
      </c>
    </row>
    <row r="9" spans="1:7" x14ac:dyDescent="0.3">
      <c r="A9" t="s">
        <v>197</v>
      </c>
      <c r="B9">
        <v>3</v>
      </c>
      <c r="C9">
        <v>1</v>
      </c>
      <c r="D9">
        <v>2</v>
      </c>
      <c r="E9">
        <v>3</v>
      </c>
      <c r="F9">
        <v>3</v>
      </c>
      <c r="G9">
        <f t="shared" si="0"/>
        <v>9</v>
      </c>
    </row>
    <row r="10" spans="1:7" x14ac:dyDescent="0.3">
      <c r="A10" t="s">
        <v>198</v>
      </c>
      <c r="B10">
        <v>2</v>
      </c>
      <c r="C10">
        <v>2</v>
      </c>
      <c r="D10">
        <v>2</v>
      </c>
      <c r="E10">
        <v>1</v>
      </c>
      <c r="F10">
        <v>3</v>
      </c>
      <c r="G10">
        <f t="shared" si="0"/>
        <v>7</v>
      </c>
    </row>
    <row r="11" spans="1:7" x14ac:dyDescent="0.3">
      <c r="A11" t="s">
        <v>199</v>
      </c>
      <c r="B11">
        <v>3</v>
      </c>
      <c r="C11">
        <v>1</v>
      </c>
      <c r="D11">
        <v>1</v>
      </c>
      <c r="E11">
        <v>2</v>
      </c>
      <c r="F11">
        <v>1</v>
      </c>
      <c r="G11">
        <f t="shared" si="0"/>
        <v>7</v>
      </c>
    </row>
    <row r="12" spans="1:7" x14ac:dyDescent="0.3">
      <c r="A12" t="s">
        <v>200</v>
      </c>
      <c r="B12">
        <v>1</v>
      </c>
      <c r="C12">
        <v>2</v>
      </c>
      <c r="D12">
        <v>2</v>
      </c>
      <c r="E12">
        <v>2</v>
      </c>
      <c r="F12">
        <v>3</v>
      </c>
      <c r="G12">
        <f t="shared" si="0"/>
        <v>7</v>
      </c>
    </row>
    <row r="13" spans="1:7" x14ac:dyDescent="0.3">
      <c r="A13" t="s">
        <v>201</v>
      </c>
      <c r="B13">
        <v>3</v>
      </c>
      <c r="C13">
        <v>2</v>
      </c>
      <c r="D13">
        <v>3</v>
      </c>
      <c r="E13">
        <v>3</v>
      </c>
      <c r="F13">
        <v>1</v>
      </c>
      <c r="G13">
        <f t="shared" si="0"/>
        <v>11</v>
      </c>
    </row>
    <row r="14" spans="1:7" x14ac:dyDescent="0.3">
      <c r="A14" t="s">
        <v>202</v>
      </c>
      <c r="B14">
        <v>2</v>
      </c>
      <c r="C14">
        <v>1</v>
      </c>
      <c r="D14">
        <v>2</v>
      </c>
      <c r="E14">
        <v>2</v>
      </c>
      <c r="F14">
        <v>3</v>
      </c>
      <c r="G14">
        <f t="shared" si="0"/>
        <v>7</v>
      </c>
    </row>
    <row r="15" spans="1:7" x14ac:dyDescent="0.3">
      <c r="A15" t="s">
        <v>203</v>
      </c>
      <c r="B15">
        <v>1</v>
      </c>
      <c r="C15">
        <v>3</v>
      </c>
      <c r="D15">
        <v>3</v>
      </c>
      <c r="E15">
        <v>3</v>
      </c>
      <c r="F15">
        <v>3</v>
      </c>
      <c r="G15">
        <f t="shared" si="0"/>
        <v>10</v>
      </c>
    </row>
    <row r="16" spans="1:7" x14ac:dyDescent="0.3">
      <c r="A16" t="s">
        <v>204</v>
      </c>
      <c r="B16">
        <v>2</v>
      </c>
      <c r="C16">
        <v>2</v>
      </c>
      <c r="D16">
        <v>1</v>
      </c>
      <c r="E16">
        <v>1</v>
      </c>
      <c r="F16">
        <v>1</v>
      </c>
      <c r="G16">
        <f t="shared" si="0"/>
        <v>6</v>
      </c>
    </row>
    <row r="17" spans="1:7" x14ac:dyDescent="0.3">
      <c r="A17" t="s">
        <v>205</v>
      </c>
      <c r="B17">
        <v>1</v>
      </c>
      <c r="C17">
        <v>3</v>
      </c>
      <c r="D17">
        <v>1</v>
      </c>
      <c r="E17">
        <v>3</v>
      </c>
      <c r="F17">
        <v>3</v>
      </c>
      <c r="G17">
        <f t="shared" si="0"/>
        <v>8</v>
      </c>
    </row>
    <row r="18" spans="1:7" x14ac:dyDescent="0.3">
      <c r="A18" t="s">
        <v>206</v>
      </c>
      <c r="B18">
        <v>2</v>
      </c>
      <c r="C18">
        <v>2</v>
      </c>
      <c r="D18">
        <v>3</v>
      </c>
      <c r="E18">
        <v>2</v>
      </c>
      <c r="F18">
        <v>1</v>
      </c>
      <c r="G18">
        <f t="shared" si="0"/>
        <v>9</v>
      </c>
    </row>
    <row r="19" spans="1:7" x14ac:dyDescent="0.3">
      <c r="A19" t="s">
        <v>207</v>
      </c>
      <c r="B19">
        <v>3</v>
      </c>
      <c r="C19">
        <v>1</v>
      </c>
      <c r="D19">
        <v>3</v>
      </c>
      <c r="E19">
        <v>3</v>
      </c>
      <c r="F19">
        <v>1</v>
      </c>
      <c r="G19">
        <f t="shared" si="0"/>
        <v>10</v>
      </c>
    </row>
    <row r="20" spans="1:7" x14ac:dyDescent="0.3">
      <c r="A20" t="s">
        <v>208</v>
      </c>
      <c r="B20">
        <v>2</v>
      </c>
      <c r="C20">
        <v>2</v>
      </c>
      <c r="D20">
        <v>2</v>
      </c>
      <c r="E20">
        <v>2</v>
      </c>
      <c r="F20">
        <v>3</v>
      </c>
      <c r="G20">
        <f t="shared" si="0"/>
        <v>8</v>
      </c>
    </row>
    <row r="21" spans="1:7" x14ac:dyDescent="0.3">
      <c r="A21" t="s">
        <v>209</v>
      </c>
      <c r="B21">
        <v>3</v>
      </c>
      <c r="C21">
        <v>2</v>
      </c>
      <c r="D21">
        <v>3</v>
      </c>
      <c r="E21">
        <v>3</v>
      </c>
      <c r="F21">
        <v>3</v>
      </c>
      <c r="G21">
        <f t="shared" si="0"/>
        <v>11</v>
      </c>
    </row>
    <row r="22" spans="1:7" x14ac:dyDescent="0.3">
      <c r="A22" t="s">
        <v>154</v>
      </c>
      <c r="B22">
        <f>SUM(B2:B21)</f>
        <v>44</v>
      </c>
      <c r="C22">
        <f t="shared" ref="C22:F22" si="1">SUM(C2:C21)</f>
        <v>40</v>
      </c>
      <c r="D22">
        <f t="shared" si="1"/>
        <v>42</v>
      </c>
      <c r="E22">
        <f t="shared" si="1"/>
        <v>45</v>
      </c>
      <c r="F22">
        <f t="shared" si="1"/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C949F-9887-443E-8BE8-66F869DC4534}">
  <dimension ref="A1:T13"/>
  <sheetViews>
    <sheetView workbookViewId="0">
      <selection activeCell="M18" sqref="M18"/>
    </sheetView>
  </sheetViews>
  <sheetFormatPr baseColWidth="10" defaultRowHeight="14.4" x14ac:dyDescent="0.3"/>
  <sheetData>
    <row r="1" spans="1:20" x14ac:dyDescent="0.3">
      <c r="A1" s="21" t="s">
        <v>210</v>
      </c>
      <c r="B1" s="21" t="s">
        <v>0</v>
      </c>
      <c r="C1" s="21" t="s">
        <v>211</v>
      </c>
      <c r="D1" s="21" t="s">
        <v>212</v>
      </c>
      <c r="E1" s="21" t="s">
        <v>213</v>
      </c>
      <c r="F1" s="21" t="s">
        <v>214</v>
      </c>
      <c r="G1" s="21" t="s">
        <v>215</v>
      </c>
      <c r="H1" s="21" t="s">
        <v>216</v>
      </c>
      <c r="I1" s="21" t="s">
        <v>217</v>
      </c>
      <c r="J1" s="21" t="s">
        <v>218</v>
      </c>
      <c r="K1" s="21" t="s">
        <v>219</v>
      </c>
      <c r="L1" s="21" t="s">
        <v>220</v>
      </c>
      <c r="M1" s="21" t="s">
        <v>221</v>
      </c>
      <c r="N1" s="21" t="s">
        <v>222</v>
      </c>
      <c r="O1" s="21" t="s">
        <v>223</v>
      </c>
      <c r="P1" s="21" t="s">
        <v>224</v>
      </c>
      <c r="Q1" s="21" t="s">
        <v>225</v>
      </c>
      <c r="R1" s="21" t="s">
        <v>226</v>
      </c>
      <c r="S1" s="21" t="s">
        <v>227</v>
      </c>
      <c r="T1" s="21" t="s">
        <v>228</v>
      </c>
    </row>
    <row r="2" spans="1:20" x14ac:dyDescent="0.3">
      <c r="A2" s="21" t="s">
        <v>229</v>
      </c>
      <c r="B2" s="21" t="s">
        <v>116</v>
      </c>
      <c r="C2" s="21">
        <v>6</v>
      </c>
      <c r="D2" s="21">
        <v>384</v>
      </c>
      <c r="E2" s="21">
        <v>0.8276</v>
      </c>
      <c r="F2" s="21">
        <v>12</v>
      </c>
      <c r="G2" s="21">
        <v>2.5899999999999999E-2</v>
      </c>
      <c r="H2" s="21">
        <v>1</v>
      </c>
      <c r="I2" s="21">
        <v>0</v>
      </c>
      <c r="J2" s="21">
        <v>48</v>
      </c>
      <c r="K2" s="21">
        <v>0.10340000000000001</v>
      </c>
      <c r="L2" s="21">
        <v>7</v>
      </c>
      <c r="M2" s="21">
        <v>1.5100000000000001E-2</v>
      </c>
      <c r="N2" s="21">
        <v>12</v>
      </c>
      <c r="O2" s="21">
        <v>2.5899999999999999E-2</v>
      </c>
      <c r="P2" s="21">
        <v>464</v>
      </c>
      <c r="Q2" s="21">
        <v>467</v>
      </c>
      <c r="R2" s="21">
        <v>0.99360000000000004</v>
      </c>
      <c r="S2" s="21">
        <v>467</v>
      </c>
      <c r="T2" s="21">
        <v>0.99360000000000004</v>
      </c>
    </row>
    <row r="3" spans="1:20" x14ac:dyDescent="0.3">
      <c r="A3" s="21" t="s">
        <v>229</v>
      </c>
      <c r="B3" s="21" t="s">
        <v>119</v>
      </c>
      <c r="C3" s="21">
        <v>34</v>
      </c>
      <c r="D3" s="21">
        <v>542</v>
      </c>
      <c r="E3" s="21">
        <v>0.65620000000000001</v>
      </c>
      <c r="F3" s="21">
        <v>138</v>
      </c>
      <c r="G3" s="21">
        <v>0.1671</v>
      </c>
      <c r="H3" s="21">
        <v>6</v>
      </c>
      <c r="I3" s="21">
        <v>0</v>
      </c>
      <c r="J3" s="21">
        <v>41</v>
      </c>
      <c r="K3" s="21">
        <v>4.9599999999999998E-2</v>
      </c>
      <c r="L3" s="21">
        <v>46</v>
      </c>
      <c r="M3" s="21">
        <v>5.57E-2</v>
      </c>
      <c r="N3" s="21">
        <v>53</v>
      </c>
      <c r="O3" s="21">
        <v>6.4199999999999993E-2</v>
      </c>
      <c r="P3" s="21">
        <v>826</v>
      </c>
      <c r="Q3" s="21">
        <v>831</v>
      </c>
      <c r="R3" s="21">
        <v>0.99399999999999999</v>
      </c>
      <c r="S3" s="21">
        <v>831</v>
      </c>
      <c r="T3" s="21">
        <v>0.99399999999999999</v>
      </c>
    </row>
    <row r="4" spans="1:20" x14ac:dyDescent="0.3">
      <c r="A4" s="21" t="s">
        <v>229</v>
      </c>
      <c r="B4" s="21" t="s">
        <v>230</v>
      </c>
      <c r="C4" s="21">
        <v>69</v>
      </c>
      <c r="D4" s="21">
        <v>566</v>
      </c>
      <c r="E4" s="21">
        <v>0.76590000000000003</v>
      </c>
      <c r="F4" s="21">
        <v>78</v>
      </c>
      <c r="G4" s="21">
        <v>0.1055</v>
      </c>
      <c r="H4" s="21">
        <v>6</v>
      </c>
      <c r="I4" s="21">
        <v>0</v>
      </c>
      <c r="J4" s="21">
        <v>14</v>
      </c>
      <c r="K4" s="21">
        <v>1.89E-2</v>
      </c>
      <c r="L4" s="21">
        <v>50</v>
      </c>
      <c r="M4" s="21">
        <v>6.7699999999999996E-2</v>
      </c>
      <c r="N4" s="21">
        <v>25</v>
      </c>
      <c r="O4" s="21">
        <v>3.3799999999999997E-2</v>
      </c>
      <c r="P4" s="21">
        <v>739</v>
      </c>
      <c r="Q4" s="21">
        <v>749</v>
      </c>
      <c r="R4" s="21">
        <v>0.98660000000000003</v>
      </c>
      <c r="S4" s="21">
        <v>749</v>
      </c>
      <c r="T4" s="21">
        <v>0.98660000000000003</v>
      </c>
    </row>
    <row r="5" spans="1:20" x14ac:dyDescent="0.3">
      <c r="A5" s="21" t="s">
        <v>229</v>
      </c>
      <c r="B5" s="21" t="s">
        <v>121</v>
      </c>
      <c r="C5" s="21">
        <v>52</v>
      </c>
      <c r="D5" s="21">
        <v>225</v>
      </c>
      <c r="E5" s="21">
        <v>0.67769999999999997</v>
      </c>
      <c r="F5" s="21">
        <v>73</v>
      </c>
      <c r="G5" s="21">
        <v>0.21990000000000001</v>
      </c>
      <c r="H5" s="21">
        <v>1</v>
      </c>
      <c r="I5" s="21">
        <v>0</v>
      </c>
      <c r="J5" s="21">
        <v>16</v>
      </c>
      <c r="K5" s="21">
        <v>4.82E-2</v>
      </c>
      <c r="L5" s="21">
        <v>6</v>
      </c>
      <c r="M5" s="21">
        <v>1.8100000000000002E-2</v>
      </c>
      <c r="N5" s="21">
        <v>11</v>
      </c>
      <c r="O5" s="21">
        <v>3.3099999999999997E-2</v>
      </c>
      <c r="P5" s="21">
        <v>332</v>
      </c>
      <c r="Q5" s="21">
        <v>339</v>
      </c>
      <c r="R5" s="21">
        <v>0.97940000000000005</v>
      </c>
      <c r="S5" s="21">
        <v>339</v>
      </c>
      <c r="T5" s="21">
        <v>0.97940000000000005</v>
      </c>
    </row>
    <row r="6" spans="1:20" x14ac:dyDescent="0.3">
      <c r="A6" s="21" t="s">
        <v>229</v>
      </c>
      <c r="B6" s="21" t="s">
        <v>123</v>
      </c>
      <c r="C6" s="21">
        <v>50</v>
      </c>
      <c r="D6" s="21">
        <v>263</v>
      </c>
      <c r="E6" s="21">
        <v>0.34379999999999999</v>
      </c>
      <c r="F6" s="21">
        <v>39</v>
      </c>
      <c r="G6" s="21">
        <v>5.0999999999999997E-2</v>
      </c>
      <c r="H6" s="21">
        <v>5</v>
      </c>
      <c r="I6" s="21">
        <v>0</v>
      </c>
      <c r="J6" s="21">
        <v>443</v>
      </c>
      <c r="K6" s="21">
        <v>0.57909999999999995</v>
      </c>
      <c r="L6" s="21">
        <v>15</v>
      </c>
      <c r="M6" s="21">
        <v>1.9599999999999999E-2</v>
      </c>
      <c r="N6" s="21">
        <v>0</v>
      </c>
      <c r="O6" s="21">
        <v>0</v>
      </c>
      <c r="P6" s="21">
        <v>765</v>
      </c>
      <c r="Q6" s="21">
        <v>806</v>
      </c>
      <c r="R6" s="21">
        <v>0.94910000000000005</v>
      </c>
      <c r="S6" s="21">
        <v>806</v>
      </c>
      <c r="T6" s="21">
        <v>0.94910000000000005</v>
      </c>
    </row>
    <row r="7" spans="1:20" x14ac:dyDescent="0.3">
      <c r="A7" s="21" t="s">
        <v>229</v>
      </c>
      <c r="B7" s="21" t="s">
        <v>125</v>
      </c>
      <c r="C7" s="21">
        <v>53</v>
      </c>
      <c r="D7" s="21">
        <v>953</v>
      </c>
      <c r="E7" s="21">
        <v>0.96750000000000003</v>
      </c>
      <c r="F7" s="21">
        <v>7</v>
      </c>
      <c r="G7" s="21">
        <v>7.1000000000000004E-3</v>
      </c>
      <c r="H7" s="21">
        <v>5</v>
      </c>
      <c r="I7" s="21">
        <v>0</v>
      </c>
      <c r="J7" s="21">
        <v>2</v>
      </c>
      <c r="K7" s="21">
        <v>2E-3</v>
      </c>
      <c r="L7" s="21">
        <v>18</v>
      </c>
      <c r="M7" s="21">
        <v>1.83E-2</v>
      </c>
      <c r="N7" s="21">
        <v>0</v>
      </c>
      <c r="O7" s="21">
        <v>0</v>
      </c>
      <c r="P7" s="21">
        <v>985</v>
      </c>
      <c r="Q7" s="21">
        <v>1064</v>
      </c>
      <c r="R7" s="21">
        <v>0.92579999999999996</v>
      </c>
      <c r="S7" s="21">
        <v>1064</v>
      </c>
      <c r="T7" s="21">
        <v>0.92579999999999996</v>
      </c>
    </row>
    <row r="8" spans="1:20" x14ac:dyDescent="0.3">
      <c r="A8" s="21" t="s">
        <v>229</v>
      </c>
      <c r="B8" s="21" t="s">
        <v>127</v>
      </c>
      <c r="C8" s="21">
        <v>66</v>
      </c>
      <c r="D8" s="21">
        <v>85</v>
      </c>
      <c r="E8" s="21">
        <v>0.72030000000000005</v>
      </c>
      <c r="F8" s="21">
        <v>19</v>
      </c>
      <c r="G8" s="21">
        <v>0.161</v>
      </c>
      <c r="H8" s="21">
        <v>0</v>
      </c>
      <c r="I8" s="21">
        <v>0</v>
      </c>
      <c r="J8" s="21">
        <v>7</v>
      </c>
      <c r="K8" s="21">
        <v>5.9299999999999999E-2</v>
      </c>
      <c r="L8" s="21">
        <v>2</v>
      </c>
      <c r="M8" s="21">
        <v>1.6899999999999998E-2</v>
      </c>
      <c r="N8" s="21">
        <v>5</v>
      </c>
      <c r="O8" s="21">
        <v>4.24E-2</v>
      </c>
      <c r="P8" s="21">
        <v>118</v>
      </c>
      <c r="Q8" s="21">
        <v>128</v>
      </c>
      <c r="R8" s="21">
        <v>0.92190000000000005</v>
      </c>
      <c r="S8" s="21">
        <v>128</v>
      </c>
      <c r="T8" s="21">
        <v>0.92190000000000005</v>
      </c>
    </row>
    <row r="9" spans="1:20" x14ac:dyDescent="0.3">
      <c r="A9" s="21" t="s">
        <v>229</v>
      </c>
      <c r="B9" s="21" t="s">
        <v>131</v>
      </c>
      <c r="C9" s="21">
        <v>71</v>
      </c>
      <c r="D9" s="21">
        <v>803</v>
      </c>
      <c r="E9" s="21">
        <v>0.81030000000000002</v>
      </c>
      <c r="F9" s="21">
        <v>89</v>
      </c>
      <c r="G9" s="21">
        <v>8.9800000000000005E-2</v>
      </c>
      <c r="H9" s="21">
        <v>10</v>
      </c>
      <c r="I9" s="21">
        <v>0</v>
      </c>
      <c r="J9" s="21">
        <v>59</v>
      </c>
      <c r="K9" s="21">
        <v>5.9499999999999997E-2</v>
      </c>
      <c r="L9" s="21">
        <v>26</v>
      </c>
      <c r="M9" s="21">
        <v>2.6200000000000001E-2</v>
      </c>
      <c r="N9" s="21">
        <v>4</v>
      </c>
      <c r="O9" s="21">
        <v>4.0000000000000001E-3</v>
      </c>
      <c r="P9" s="21">
        <v>991</v>
      </c>
      <c r="Q9" s="21">
        <v>1073</v>
      </c>
      <c r="R9" s="21">
        <v>0.92359999999999998</v>
      </c>
      <c r="S9" s="21">
        <v>1073</v>
      </c>
      <c r="T9" s="21">
        <v>0.92359999999999998</v>
      </c>
    </row>
    <row r="10" spans="1:20" x14ac:dyDescent="0.3">
      <c r="A10" s="21" t="s">
        <v>229</v>
      </c>
      <c r="B10" s="21" t="s">
        <v>133</v>
      </c>
      <c r="C10" s="21">
        <v>88</v>
      </c>
      <c r="D10" s="21">
        <v>1116</v>
      </c>
      <c r="E10" s="21">
        <v>0.99470000000000003</v>
      </c>
      <c r="F10" s="21">
        <v>5</v>
      </c>
      <c r="G10" s="21">
        <v>4.4999999999999997E-3</v>
      </c>
      <c r="H10" s="21">
        <v>0</v>
      </c>
      <c r="I10" s="21">
        <v>0</v>
      </c>
      <c r="J10" s="21">
        <v>0</v>
      </c>
      <c r="K10" s="21">
        <v>0</v>
      </c>
      <c r="L10" s="21">
        <v>1</v>
      </c>
      <c r="M10" s="21">
        <v>8.9999999999999998E-4</v>
      </c>
      <c r="N10" s="21">
        <v>0</v>
      </c>
      <c r="O10" s="21">
        <v>0</v>
      </c>
      <c r="P10" s="21">
        <v>1122</v>
      </c>
      <c r="Q10" s="21">
        <v>1126</v>
      </c>
      <c r="R10" s="21">
        <v>0.99639999999999995</v>
      </c>
      <c r="S10" s="21">
        <v>1126</v>
      </c>
      <c r="T10" s="21">
        <v>0.99639999999999995</v>
      </c>
    </row>
    <row r="11" spans="1:20" x14ac:dyDescent="0.3">
      <c r="A11" s="21" t="s">
        <v>229</v>
      </c>
      <c r="B11" s="21" t="s">
        <v>135</v>
      </c>
      <c r="C11" s="21">
        <v>102</v>
      </c>
      <c r="D11" s="21">
        <v>847</v>
      </c>
      <c r="E11" s="21">
        <v>0.85819999999999996</v>
      </c>
      <c r="F11" s="21">
        <v>44</v>
      </c>
      <c r="G11" s="21">
        <v>4.4600000000000001E-2</v>
      </c>
      <c r="H11" s="21">
        <v>10</v>
      </c>
      <c r="I11" s="21">
        <v>0</v>
      </c>
      <c r="J11" s="21">
        <v>48</v>
      </c>
      <c r="K11" s="21">
        <v>4.8599999999999997E-2</v>
      </c>
      <c r="L11" s="21">
        <v>25</v>
      </c>
      <c r="M11" s="21">
        <v>2.53E-2</v>
      </c>
      <c r="N11" s="21">
        <v>13</v>
      </c>
      <c r="O11" s="21">
        <v>1.32E-2</v>
      </c>
      <c r="P11" s="21">
        <v>987</v>
      </c>
      <c r="Q11" s="21">
        <v>990</v>
      </c>
      <c r="R11" s="21">
        <v>0.997</v>
      </c>
      <c r="S11" s="21">
        <v>990</v>
      </c>
      <c r="T11" s="21">
        <v>0.997</v>
      </c>
    </row>
    <row r="12" spans="1:20" x14ac:dyDescent="0.3">
      <c r="A12" s="21" t="s">
        <v>229</v>
      </c>
      <c r="B12" s="21" t="s">
        <v>137</v>
      </c>
      <c r="C12" s="21">
        <v>108</v>
      </c>
      <c r="D12" s="21">
        <v>557</v>
      </c>
      <c r="E12" s="21">
        <v>0.92830000000000001</v>
      </c>
      <c r="F12" s="21">
        <v>18</v>
      </c>
      <c r="G12" s="21">
        <v>0.03</v>
      </c>
      <c r="H12" s="21">
        <v>0</v>
      </c>
      <c r="I12" s="21">
        <v>0</v>
      </c>
      <c r="J12" s="21">
        <v>14</v>
      </c>
      <c r="K12" s="21">
        <v>2.3300000000000001E-2</v>
      </c>
      <c r="L12" s="21">
        <v>5</v>
      </c>
      <c r="M12" s="21">
        <v>8.3000000000000001E-3</v>
      </c>
      <c r="N12" s="21">
        <v>6</v>
      </c>
      <c r="O12" s="21">
        <v>0.01</v>
      </c>
      <c r="P12" s="21">
        <v>600</v>
      </c>
      <c r="Q12" s="21">
        <v>607</v>
      </c>
      <c r="R12" s="21">
        <v>0.98850000000000005</v>
      </c>
      <c r="S12" s="21">
        <v>607</v>
      </c>
      <c r="T12" s="21">
        <v>0.98850000000000005</v>
      </c>
    </row>
    <row r="13" spans="1:20" x14ac:dyDescent="0.3">
      <c r="A13" s="21" t="s">
        <v>229</v>
      </c>
      <c r="B13" s="21" t="s">
        <v>139</v>
      </c>
      <c r="C13" s="21">
        <v>112</v>
      </c>
      <c r="D13" s="21">
        <v>305</v>
      </c>
      <c r="E13" s="21">
        <v>0.82879999999999998</v>
      </c>
      <c r="F13" s="21">
        <v>30</v>
      </c>
      <c r="G13" s="21">
        <v>8.1500000000000003E-2</v>
      </c>
      <c r="H13" s="21">
        <v>0</v>
      </c>
      <c r="I13" s="21">
        <v>0</v>
      </c>
      <c r="J13" s="21">
        <v>10</v>
      </c>
      <c r="K13" s="21">
        <v>2.7199999999999998E-2</v>
      </c>
      <c r="L13" s="21">
        <v>6</v>
      </c>
      <c r="M13" s="21">
        <v>1.6299999999999999E-2</v>
      </c>
      <c r="N13" s="21">
        <v>17</v>
      </c>
      <c r="O13" s="21">
        <v>4.6199999999999998E-2</v>
      </c>
      <c r="P13" s="21">
        <v>368</v>
      </c>
      <c r="Q13" s="21">
        <v>374</v>
      </c>
      <c r="R13" s="21">
        <v>0.98399999999999999</v>
      </c>
      <c r="S13" s="21">
        <v>374</v>
      </c>
      <c r="T13" s="21">
        <v>0.98399999999999999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60074-28E7-4862-ADAC-0E210E9259D8}">
  <dimension ref="A1:N2"/>
  <sheetViews>
    <sheetView workbookViewId="0">
      <selection activeCell="G13" sqref="G13"/>
    </sheetView>
  </sheetViews>
  <sheetFormatPr baseColWidth="10" defaultRowHeight="14.4" x14ac:dyDescent="0.3"/>
  <sheetData>
    <row r="1" spans="1:14" x14ac:dyDescent="0.3">
      <c r="A1" s="21" t="s">
        <v>231</v>
      </c>
      <c r="B1" s="21" t="s">
        <v>255</v>
      </c>
      <c r="C1" s="21" t="s">
        <v>256</v>
      </c>
      <c r="D1" s="21" t="s">
        <v>257</v>
      </c>
      <c r="E1" s="21" t="s">
        <v>258</v>
      </c>
      <c r="F1" s="21" t="s">
        <v>259</v>
      </c>
      <c r="G1" s="21" t="s">
        <v>260</v>
      </c>
      <c r="H1" s="21" t="s">
        <v>261</v>
      </c>
      <c r="I1" s="21" t="s">
        <v>262</v>
      </c>
      <c r="J1" s="21" t="s">
        <v>263</v>
      </c>
      <c r="K1" s="21" t="s">
        <v>264</v>
      </c>
      <c r="L1" s="21" t="s">
        <v>265</v>
      </c>
      <c r="M1" s="21" t="s">
        <v>266</v>
      </c>
      <c r="N1" s="21" t="s">
        <v>267</v>
      </c>
    </row>
    <row r="2" spans="1:14" x14ac:dyDescent="0.3">
      <c r="A2" s="21" t="s">
        <v>251</v>
      </c>
      <c r="B2" s="21">
        <v>113</v>
      </c>
      <c r="C2" s="21">
        <v>11</v>
      </c>
      <c r="D2" s="21">
        <v>24</v>
      </c>
      <c r="E2" s="21">
        <v>2825</v>
      </c>
      <c r="F2" s="21">
        <v>3702239</v>
      </c>
      <c r="G2" s="21">
        <v>1937410</v>
      </c>
      <c r="H2" s="21">
        <v>1764826</v>
      </c>
      <c r="I2" s="21">
        <v>3</v>
      </c>
      <c r="J2" s="21">
        <v>3659813</v>
      </c>
      <c r="K2" s="21">
        <v>1915078</v>
      </c>
      <c r="L2" s="21">
        <v>1744732</v>
      </c>
      <c r="M2" s="21">
        <v>3</v>
      </c>
      <c r="N2" s="21" t="s">
        <v>268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F8CD7-6FE2-4AC1-8EE0-BC09D877E087}">
  <dimension ref="A1:H7"/>
  <sheetViews>
    <sheetView workbookViewId="0">
      <selection sqref="A1:H7"/>
    </sheetView>
  </sheetViews>
  <sheetFormatPr baseColWidth="10" defaultRowHeight="14.4" x14ac:dyDescent="0.3"/>
  <sheetData>
    <row r="1" spans="1:8" x14ac:dyDescent="0.3">
      <c r="A1" s="21" t="s">
        <v>269</v>
      </c>
      <c r="B1" s="21" t="s">
        <v>270</v>
      </c>
      <c r="C1" s="21" t="s">
        <v>235</v>
      </c>
      <c r="D1" s="21" t="s">
        <v>271</v>
      </c>
      <c r="E1" s="21" t="s">
        <v>234</v>
      </c>
      <c r="F1" s="21" t="s">
        <v>272</v>
      </c>
      <c r="G1" s="21" t="s">
        <v>273</v>
      </c>
      <c r="H1" s="21" t="s">
        <v>274</v>
      </c>
    </row>
    <row r="2" spans="1:8" x14ac:dyDescent="0.3">
      <c r="A2" s="21" t="s">
        <v>275</v>
      </c>
      <c r="B2" s="21">
        <v>63203</v>
      </c>
      <c r="C2" s="21">
        <v>1.7299999999999999E-2</v>
      </c>
      <c r="D2" s="21">
        <v>65079</v>
      </c>
      <c r="E2" s="21">
        <v>1.78E-2</v>
      </c>
      <c r="F2" s="21">
        <v>0</v>
      </c>
      <c r="G2" s="21">
        <v>0</v>
      </c>
      <c r="H2" s="21">
        <v>128282</v>
      </c>
    </row>
    <row r="3" spans="1:8" x14ac:dyDescent="0.3">
      <c r="A3" s="21" t="s">
        <v>276</v>
      </c>
      <c r="B3" s="21">
        <v>396338</v>
      </c>
      <c r="C3" s="21">
        <v>0.10829999999999999</v>
      </c>
      <c r="D3" s="21">
        <v>406913</v>
      </c>
      <c r="E3" s="21">
        <v>0.11119999999999999</v>
      </c>
      <c r="F3" s="21">
        <v>1</v>
      </c>
      <c r="G3" s="21">
        <v>2.9999999999999999E-7</v>
      </c>
      <c r="H3" s="21">
        <v>803252</v>
      </c>
    </row>
    <row r="4" spans="1:8" x14ac:dyDescent="0.3">
      <c r="A4" s="21" t="s">
        <v>277</v>
      </c>
      <c r="B4" s="21">
        <v>352109</v>
      </c>
      <c r="C4" s="21">
        <v>9.6199999999999994E-2</v>
      </c>
      <c r="D4" s="21">
        <v>386128</v>
      </c>
      <c r="E4" s="21">
        <v>0.1055</v>
      </c>
      <c r="F4" s="21">
        <v>1</v>
      </c>
      <c r="G4" s="21">
        <v>2.9999999999999999E-7</v>
      </c>
      <c r="H4" s="21">
        <v>738238</v>
      </c>
    </row>
    <row r="5" spans="1:8" x14ac:dyDescent="0.3">
      <c r="A5" s="21" t="s">
        <v>278</v>
      </c>
      <c r="B5" s="21">
        <v>294261</v>
      </c>
      <c r="C5" s="21">
        <v>8.0399999999999999E-2</v>
      </c>
      <c r="D5" s="21">
        <v>323292</v>
      </c>
      <c r="E5" s="21">
        <v>8.8300000000000003E-2</v>
      </c>
      <c r="F5" s="21">
        <v>1</v>
      </c>
      <c r="G5" s="21">
        <v>2.9999999999999999E-7</v>
      </c>
      <c r="H5" s="21">
        <v>617554</v>
      </c>
    </row>
    <row r="6" spans="1:8" x14ac:dyDescent="0.3">
      <c r="A6" s="21" t="s">
        <v>279</v>
      </c>
      <c r="B6" s="21">
        <v>256684</v>
      </c>
      <c r="C6" s="21">
        <v>7.0099999999999996E-2</v>
      </c>
      <c r="D6" s="21">
        <v>291573</v>
      </c>
      <c r="E6" s="21">
        <v>7.9699999999999993E-2</v>
      </c>
      <c r="F6" s="21">
        <v>0</v>
      </c>
      <c r="G6" s="21">
        <v>0</v>
      </c>
      <c r="H6" s="21">
        <v>548257</v>
      </c>
    </row>
    <row r="7" spans="1:8" x14ac:dyDescent="0.3">
      <c r="A7" s="21" t="s">
        <v>280</v>
      </c>
      <c r="B7" s="21">
        <v>382137</v>
      </c>
      <c r="C7" s="21">
        <v>0.10440000000000001</v>
      </c>
      <c r="D7" s="21">
        <v>442093</v>
      </c>
      <c r="E7" s="21">
        <v>0.1208</v>
      </c>
      <c r="F7" s="21">
        <v>0</v>
      </c>
      <c r="G7" s="21">
        <v>0</v>
      </c>
      <c r="H7" s="21">
        <v>824230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57F23-A14B-45C0-BEC7-6885BF7547A7}">
  <dimension ref="A1:T2"/>
  <sheetViews>
    <sheetView workbookViewId="0">
      <selection activeCell="F10" sqref="F10"/>
    </sheetView>
  </sheetViews>
  <sheetFormatPr baseColWidth="10" defaultRowHeight="14.4" x14ac:dyDescent="0.3"/>
  <sheetData>
    <row r="1" spans="1:20" x14ac:dyDescent="0.3">
      <c r="A1" s="21" t="s">
        <v>231</v>
      </c>
      <c r="B1" s="21" t="s">
        <v>232</v>
      </c>
      <c r="C1" s="21" t="s">
        <v>233</v>
      </c>
      <c r="D1" s="21" t="s">
        <v>234</v>
      </c>
      <c r="E1" s="21" t="s">
        <v>235</v>
      </c>
      <c r="F1" s="21" t="s">
        <v>236</v>
      </c>
      <c r="G1" s="21" t="s">
        <v>237</v>
      </c>
      <c r="H1" s="21" t="s">
        <v>238</v>
      </c>
      <c r="I1" s="21" t="s">
        <v>239</v>
      </c>
      <c r="J1" s="21" t="s">
        <v>240</v>
      </c>
      <c r="K1" s="21" t="s">
        <v>241</v>
      </c>
      <c r="L1" s="21" t="s">
        <v>242</v>
      </c>
      <c r="M1" s="21" t="s">
        <v>243</v>
      </c>
      <c r="N1" s="21" t="s">
        <v>244</v>
      </c>
      <c r="O1" s="21" t="s">
        <v>245</v>
      </c>
      <c r="P1" s="21" t="s">
        <v>246</v>
      </c>
      <c r="Q1" s="21" t="s">
        <v>247</v>
      </c>
      <c r="R1" s="21" t="s">
        <v>248</v>
      </c>
      <c r="S1" s="21" t="s">
        <v>249</v>
      </c>
      <c r="T1" s="21" t="s">
        <v>250</v>
      </c>
    </row>
    <row r="2" spans="1:20" x14ac:dyDescent="0.3">
      <c r="A2" s="21" t="s">
        <v>251</v>
      </c>
      <c r="B2" s="21">
        <v>58598</v>
      </c>
      <c r="C2" s="21">
        <v>4748846</v>
      </c>
      <c r="D2" s="21">
        <v>0.51429999999999998</v>
      </c>
      <c r="E2" s="21">
        <v>0.48570000000000002</v>
      </c>
      <c r="F2" s="21">
        <v>4221724</v>
      </c>
      <c r="G2" s="21">
        <v>1691000</v>
      </c>
      <c r="H2" s="21">
        <v>372000</v>
      </c>
      <c r="I2" s="21">
        <v>0.34799999999999998</v>
      </c>
      <c r="J2" s="21">
        <v>2239740</v>
      </c>
      <c r="K2" s="21">
        <v>2300000</v>
      </c>
      <c r="L2" s="21">
        <v>1500000</v>
      </c>
      <c r="M2" s="21">
        <v>0.68100000000000005</v>
      </c>
      <c r="N2" s="21">
        <v>8.6</v>
      </c>
      <c r="O2" s="21">
        <v>1284644</v>
      </c>
      <c r="P2" s="21">
        <v>3.7</v>
      </c>
      <c r="Q2" s="21">
        <v>3</v>
      </c>
      <c r="R2" s="21" t="s">
        <v>252</v>
      </c>
      <c r="S2" s="21" t="s">
        <v>253</v>
      </c>
      <c r="T2" s="21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SOLICITUDES</vt:lpstr>
      <vt:lpstr>MAPA DE MICH</vt:lpstr>
      <vt:lpstr>HISTORICO ELECCIONES</vt:lpstr>
      <vt:lpstr>CASILLAS</vt:lpstr>
      <vt:lpstr>ENCUESTAS DE SATISFACCION </vt:lpstr>
      <vt:lpstr>ENCUESTAS</vt:lpstr>
      <vt:lpstr>CONTEXTO ELECTORAL</vt:lpstr>
      <vt:lpstr>LISTA NOMINAL POR EDADES</vt:lpstr>
      <vt:lpstr>CONTEXTO ESTATAL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</dc:creator>
  <cp:lastModifiedBy>Max Vidal Moreira</cp:lastModifiedBy>
  <dcterms:created xsi:type="dcterms:W3CDTF">2026-03-21T19:20:38Z</dcterms:created>
  <dcterms:modified xsi:type="dcterms:W3CDTF">2026-04-29T21:25:28Z</dcterms:modified>
</cp:coreProperties>
</file>